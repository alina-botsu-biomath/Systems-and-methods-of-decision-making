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  <sheet state="visible" name="Копія аркуша Аркуш1 - почат. зн" sheetId="2" r:id="rId6"/>
  </sheets>
  <definedNames/>
  <calcPr/>
</workbook>
</file>

<file path=xl/sharedStrings.xml><?xml version="1.0" encoding="utf-8"?>
<sst xmlns="http://schemas.openxmlformats.org/spreadsheetml/2006/main" count="485" uniqueCount="88">
  <si>
    <t>Метод аналізу ієрархій</t>
  </si>
  <si>
    <t>Придумати задачу прийняття рішення з 4 критеріями, за якимим оцінюються 4 альтернативних рішення.</t>
  </si>
  <si>
    <t>Розв'язати цю задачу методом аналізу ієрархій.</t>
  </si>
  <si>
    <t>Можливі два варіанти виконання роботи:</t>
  </si>
  <si>
    <t>індивідуально (3 рівня ієрархії)</t>
  </si>
  <si>
    <t>МАІ передбачає проведення наступних етапів:</t>
  </si>
  <si>
    <t>Етап 1. Побудова моделі проблеми у вигляді ієрархії:</t>
  </si>
  <si>
    <t>I рівень-мета, II рівень-критерії оцінки якості альтернатив,</t>
  </si>
  <si>
    <t>III рівень-можливі альтернативи</t>
  </si>
  <si>
    <t>Вибір методу лікування захворювання</t>
  </si>
  <si>
    <t>Пацієнту необхідно обрати найбільш ефективний метод лікування серед 4 альтернатив.</t>
  </si>
  <si>
    <t>I рівень-мета</t>
  </si>
  <si>
    <t>Обрати найкращий метод лікування</t>
  </si>
  <si>
    <t>II рівень-критерії оцінки якості альтернатив</t>
  </si>
  <si>
    <t>К1 — Ефективність лікування</t>
  </si>
  <si>
    <t>К2 — Вартість</t>
  </si>
  <si>
    <t>К3 — Ризик ускладнень</t>
  </si>
  <si>
    <t>К4 — Тривалість реабілітації</t>
  </si>
  <si>
    <t>A1 — Медикаментозна терапія</t>
  </si>
  <si>
    <t>A2 — Хірургічне лікування</t>
  </si>
  <si>
    <t>A3 — Лазерна терапія</t>
  </si>
  <si>
    <t>A4 — Біотехнологічна терапія (наприклад, клітинна терапія)</t>
  </si>
  <si>
    <t>Етап 2. Визначення пріоритетів всіх елементів ієрархії (метод парних порівнянь)</t>
  </si>
  <si>
    <t>Складемо матрицю для 2х крітеріїв</t>
  </si>
  <si>
    <t>Припустимо такі судження:</t>
  </si>
  <si>
    <t>найважливіше</t>
  </si>
  <si>
    <t>також важливо</t>
  </si>
  <si>
    <t>помірно важливо</t>
  </si>
  <si>
    <t>середньо важливо</t>
  </si>
  <si>
    <t>Будуємо матрицю</t>
  </si>
  <si>
    <t>К1</t>
  </si>
  <si>
    <t>К2</t>
  </si>
  <si>
    <t>К3</t>
  </si>
  <si>
    <t>К4</t>
  </si>
  <si>
    <t>крітеріїв</t>
  </si>
  <si>
    <t xml:space="preserve">Будуємо матрицю </t>
  </si>
  <si>
    <t>?</t>
  </si>
  <si>
    <t>альтернатив</t>
  </si>
  <si>
    <t>Ефективність лікування більша в медикаментозній терапії</t>
  </si>
  <si>
    <t>Іерархія</t>
  </si>
  <si>
    <t>Ризиків ускладнень більше в Хірургічному лікуванні</t>
  </si>
  <si>
    <t>А1</t>
  </si>
  <si>
    <t>А2</t>
  </si>
  <si>
    <t>А3</t>
  </si>
  <si>
    <t>А4</t>
  </si>
  <si>
    <t>Етап 4. Перевірка узгодженості суджень: успіх – перехід до етапу 5, невдача -повторення етапів 1,2,3</t>
  </si>
  <si>
    <t>Вартість більша в біотехнологічній терапії</t>
  </si>
  <si>
    <t xml:space="preserve">Тривалість реабілітації більша в лазерній терапії </t>
  </si>
  <si>
    <t>З цією метою необхідно визначити індекс узгодженості (ІУ) і</t>
  </si>
  <si>
    <t>відношення узгодженості (ВУ).</t>
  </si>
  <si>
    <t>Етап 5. Ухвалення рішення на основі значень глобальних</t>
  </si>
  <si>
    <t>Індекс узгодженості (ІУ) в кожній матриці і для всієї ієрархії</t>
  </si>
  <si>
    <t>пріоритетів (лінійна згортка критеріїв)</t>
  </si>
  <si>
    <t>може бути виражений наступним способом:</t>
  </si>
  <si>
    <t>Визначається сума кожного j-го стовпця матриці суджень</t>
  </si>
  <si>
    <t>(матриці парних порівнянь):</t>
  </si>
  <si>
    <t>Етап 3. Синтез пріоритетів критеріїв та пріоритетів альтернатив</t>
  </si>
  <si>
    <t>Відносна цінність кожного критерія</t>
  </si>
  <si>
    <t>вектор пріоритетів критеріїв:</t>
  </si>
  <si>
    <t>Розмірність матриці (n)</t>
  </si>
  <si>
    <t>BIY</t>
  </si>
  <si>
    <t>глобальних пріоритетів альтернатив.</t>
  </si>
  <si>
    <t>Для визначення відносної цінності кожного критерія</t>
  </si>
  <si>
    <t>wi</t>
  </si>
  <si>
    <t>Sum r</t>
  </si>
  <si>
    <t>qi =wi / r</t>
  </si>
  <si>
    <t>pi=si*qi</t>
  </si>
  <si>
    <t>необхідно знайти середнє геометричне і з цією метою</t>
  </si>
  <si>
    <t>перемножити n елементів кожного рядка і з отриманого</t>
  </si>
  <si>
    <t>для матриць порядку n=4 бажаним є</t>
  </si>
  <si>
    <t>результату взяти корінь n-ої степені:</t>
  </si>
  <si>
    <t>виконання умови BY ≤ 0,08.</t>
  </si>
  <si>
    <t>IY</t>
  </si>
  <si>
    <t>sum</t>
  </si>
  <si>
    <t>sum q1</t>
  </si>
  <si>
    <t>lambda</t>
  </si>
  <si>
    <t>ВY=</t>
  </si>
  <si>
    <t>s1</t>
  </si>
  <si>
    <t>s2</t>
  </si>
  <si>
    <t>s3</t>
  </si>
  <si>
    <t>s4</t>
  </si>
  <si>
    <t>-/- альтернатив</t>
  </si>
  <si>
    <t>На етапі 4 матриці не пройшли перевірки та їх потрібно було відредагувати, тому далі відбувалась робота все зі зміненими матрицями, щоб вони стали узгодженими.</t>
  </si>
  <si>
    <t>Опишемо кожний із етапів.</t>
  </si>
  <si>
    <t>всі значення вже є прийнятними</t>
  </si>
  <si>
    <t>max=</t>
  </si>
  <si>
    <t xml:space="preserve">тоді робимо висновок, щонайкраща альтернатива з номером 2 </t>
  </si>
  <si>
    <t xml:space="preserve">Висновок: Паціенту потрібно обрати метод лікування з найбільшою вартістю та цей метод будет біотехнологічним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</si>
</sst>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1F1F1F"/>
      <name val="&quot;Google Sans&quot;"/>
    </font>
    <font>
      <sz val="11.0"/>
      <color rgb="FF1F1F1F"/>
      <name val="&quot;Google Sans&quot;"/>
    </font>
    <font>
      <color theme="1"/>
      <name val="Arial"/>
      <scheme val="minor"/>
    </font>
    <font>
      <b/>
      <sz val="18.0"/>
      <color theme="1"/>
      <name val="Arial"/>
      <scheme val="minor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3" fontId="3" numFmtId="0" xfId="0" applyFill="1" applyFont="1"/>
    <xf borderId="0" fillId="3" fontId="3" numFmtId="0" xfId="0" applyAlignment="1" applyFont="1">
      <alignment readingOrder="0"/>
    </xf>
    <xf borderId="0" fillId="3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10" xfId="0" applyFont="1" applyNumberFormat="1"/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3</xdr:row>
      <xdr:rowOff>0</xdr:rowOff>
    </xdr:from>
    <xdr:ext cx="6153150" cy="4867275"/>
    <xdr:pic>
      <xdr:nvPicPr>
        <xdr:cNvPr id="0" name="image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628650</xdr:colOff>
      <xdr:row>8</xdr:row>
      <xdr:rowOff>66675</xdr:rowOff>
    </xdr:from>
    <xdr:ext cx="6877050" cy="4105275"/>
    <xdr:pic>
      <xdr:nvPicPr>
        <xdr:cNvPr id="0" name="image2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152400</xdr:colOff>
      <xdr:row>62</xdr:row>
      <xdr:rowOff>47625</xdr:rowOff>
    </xdr:from>
    <xdr:ext cx="1085850" cy="590550"/>
    <xdr:pic>
      <xdr:nvPicPr>
        <xdr:cNvPr id="0" name="image3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3</xdr:row>
      <xdr:rowOff>0</xdr:rowOff>
    </xdr:from>
    <xdr:ext cx="6153150" cy="4867275"/>
    <xdr:pic>
      <xdr:nvPicPr>
        <xdr:cNvPr id="0" name="image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628650</xdr:colOff>
      <xdr:row>8</xdr:row>
      <xdr:rowOff>66675</xdr:rowOff>
    </xdr:from>
    <xdr:ext cx="6877050" cy="4105275"/>
    <xdr:pic>
      <xdr:nvPicPr>
        <xdr:cNvPr id="0" name="image2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390525</xdr:colOff>
      <xdr:row>62</xdr:row>
      <xdr:rowOff>95250</xdr:rowOff>
    </xdr:from>
    <xdr:ext cx="1085850" cy="590550"/>
    <xdr:pic>
      <xdr:nvPicPr>
        <xdr:cNvPr id="0" name="image3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8" max="8" width="12.88"/>
    <col customWidth="1" min="18" max="18" width="18.75"/>
    <col customWidth="1" min="20" max="20" width="19.0"/>
  </cols>
  <sheetData>
    <row r="2">
      <c r="B2" s="1" t="s">
        <v>0</v>
      </c>
    </row>
    <row r="4">
      <c r="B4" s="2" t="s">
        <v>1</v>
      </c>
    </row>
    <row r="5">
      <c r="B5" s="2" t="s">
        <v>2</v>
      </c>
    </row>
    <row r="6">
      <c r="B6" s="2" t="s">
        <v>3</v>
      </c>
    </row>
    <row r="7">
      <c r="B7" s="2" t="s">
        <v>4</v>
      </c>
    </row>
    <row r="8">
      <c r="B8" s="2"/>
    </row>
    <row r="9">
      <c r="B9" s="3" t="s">
        <v>5</v>
      </c>
    </row>
    <row r="10">
      <c r="B10" s="3" t="s">
        <v>6</v>
      </c>
    </row>
    <row r="11">
      <c r="B11" s="3" t="s">
        <v>7</v>
      </c>
    </row>
    <row r="12">
      <c r="B12" s="3" t="s">
        <v>8</v>
      </c>
    </row>
    <row r="15">
      <c r="B15" s="4" t="s">
        <v>9</v>
      </c>
    </row>
    <row r="16">
      <c r="B16" s="3" t="s">
        <v>10</v>
      </c>
    </row>
    <row r="17">
      <c r="B17" s="3" t="s">
        <v>11</v>
      </c>
    </row>
    <row r="19">
      <c r="C19" s="3" t="s">
        <v>12</v>
      </c>
    </row>
    <row r="20">
      <c r="B20" s="3" t="s">
        <v>13</v>
      </c>
    </row>
    <row r="21">
      <c r="C21" s="3" t="s">
        <v>14</v>
      </c>
    </row>
    <row r="22">
      <c r="C22" s="3" t="s">
        <v>15</v>
      </c>
    </row>
    <row r="23">
      <c r="C23" s="3" t="s">
        <v>16</v>
      </c>
    </row>
    <row r="24">
      <c r="C24" s="3" t="s">
        <v>17</v>
      </c>
    </row>
    <row r="25">
      <c r="B25" s="3" t="s">
        <v>8</v>
      </c>
    </row>
    <row r="26">
      <c r="C26" s="3" t="s">
        <v>18</v>
      </c>
    </row>
    <row r="27">
      <c r="C27" s="3" t="s">
        <v>19</v>
      </c>
    </row>
    <row r="28">
      <c r="C28" s="3" t="s">
        <v>20</v>
      </c>
    </row>
    <row r="29">
      <c r="C29" s="3" t="s">
        <v>21</v>
      </c>
    </row>
    <row r="32">
      <c r="B32" s="3" t="s">
        <v>22</v>
      </c>
    </row>
    <row r="33">
      <c r="B33" s="3" t="s">
        <v>23</v>
      </c>
    </row>
    <row r="34">
      <c r="B34" s="3" t="s">
        <v>24</v>
      </c>
      <c r="C34" s="3" t="s">
        <v>14</v>
      </c>
      <c r="E34" s="3" t="s">
        <v>25</v>
      </c>
    </row>
    <row r="35">
      <c r="C35" s="3" t="s">
        <v>16</v>
      </c>
      <c r="E35" s="3" t="s">
        <v>26</v>
      </c>
    </row>
    <row r="36">
      <c r="C36" s="3" t="s">
        <v>17</v>
      </c>
      <c r="E36" s="3" t="s">
        <v>27</v>
      </c>
    </row>
    <row r="37">
      <c r="C37" s="3" t="s">
        <v>15</v>
      </c>
      <c r="E37" s="3" t="s">
        <v>28</v>
      </c>
    </row>
    <row r="39">
      <c r="B39" s="3" t="s">
        <v>29</v>
      </c>
      <c r="D39" s="3" t="s">
        <v>30</v>
      </c>
      <c r="E39" s="3" t="s">
        <v>31</v>
      </c>
      <c r="F39" s="3" t="s">
        <v>32</v>
      </c>
      <c r="G39" s="3" t="s">
        <v>33</v>
      </c>
    </row>
    <row r="40">
      <c r="B40" s="3" t="s">
        <v>34</v>
      </c>
      <c r="C40" s="3" t="s">
        <v>30</v>
      </c>
      <c r="D40" s="3">
        <v>1.0</v>
      </c>
      <c r="E40" s="3">
        <v>5.0</v>
      </c>
      <c r="F40" s="3">
        <v>3.0</v>
      </c>
      <c r="G40" s="3">
        <v>4.0</v>
      </c>
    </row>
    <row r="41">
      <c r="C41" s="3" t="s">
        <v>31</v>
      </c>
      <c r="D41" s="5">
        <f>1/E40</f>
        <v>0.2</v>
      </c>
      <c r="E41" s="3">
        <v>1.0</v>
      </c>
      <c r="F41" s="3">
        <v>3.0</v>
      </c>
      <c r="G41" s="3">
        <v>4.0</v>
      </c>
    </row>
    <row r="42">
      <c r="C42" s="3" t="s">
        <v>32</v>
      </c>
      <c r="D42" s="5">
        <f>1/F40</f>
        <v>0.3333333333</v>
      </c>
      <c r="E42" s="5">
        <f>1/F41</f>
        <v>0.3333333333</v>
      </c>
      <c r="F42" s="3">
        <v>1.0</v>
      </c>
      <c r="G42" s="3">
        <v>2.0</v>
      </c>
    </row>
    <row r="43">
      <c r="C43" s="3" t="s">
        <v>33</v>
      </c>
      <c r="D43" s="5">
        <f>1/G40</f>
        <v>0.25</v>
      </c>
      <c r="E43" s="5">
        <f>1/G41</f>
        <v>0.25</v>
      </c>
      <c r="F43" s="5">
        <f>1/G42</f>
        <v>0.5</v>
      </c>
      <c r="G43" s="3">
        <v>1.0</v>
      </c>
    </row>
    <row r="45">
      <c r="B45" s="3" t="s">
        <v>35</v>
      </c>
      <c r="E45" s="3" t="s">
        <v>36</v>
      </c>
    </row>
    <row r="46">
      <c r="B46" s="3" t="s">
        <v>37</v>
      </c>
      <c r="C46" s="3" t="s">
        <v>38</v>
      </c>
      <c r="H46" s="3" t="s">
        <v>39</v>
      </c>
      <c r="J46" s="3" t="s">
        <v>40</v>
      </c>
      <c r="O46" s="3" t="s">
        <v>39</v>
      </c>
    </row>
    <row r="47">
      <c r="C47" s="3" t="s">
        <v>30</v>
      </c>
      <c r="D47" s="3" t="s">
        <v>41</v>
      </c>
      <c r="E47" s="3" t="s">
        <v>42</v>
      </c>
      <c r="F47" s="3" t="s">
        <v>43</v>
      </c>
      <c r="G47" s="3" t="s">
        <v>44</v>
      </c>
      <c r="J47" s="3" t="s">
        <v>32</v>
      </c>
      <c r="K47" s="3" t="s">
        <v>41</v>
      </c>
      <c r="L47" s="3" t="s">
        <v>42</v>
      </c>
      <c r="M47" s="3" t="s">
        <v>43</v>
      </c>
      <c r="N47" s="3" t="s">
        <v>44</v>
      </c>
    </row>
    <row r="48">
      <c r="C48" s="3" t="s">
        <v>41</v>
      </c>
      <c r="D48" s="3">
        <v>1.0</v>
      </c>
      <c r="E48" s="3">
        <v>2.0</v>
      </c>
      <c r="F48" s="3">
        <v>4.0</v>
      </c>
      <c r="G48" s="3">
        <v>3.0</v>
      </c>
      <c r="H48" s="3" t="s">
        <v>41</v>
      </c>
      <c r="J48" s="3" t="s">
        <v>41</v>
      </c>
      <c r="K48" s="3">
        <v>1.0</v>
      </c>
      <c r="L48" s="3">
        <v>9.0</v>
      </c>
      <c r="M48" s="3">
        <v>7.0</v>
      </c>
      <c r="N48" s="3">
        <v>7.0</v>
      </c>
      <c r="O48" s="3" t="s">
        <v>42</v>
      </c>
    </row>
    <row r="49">
      <c r="C49" s="3" t="s">
        <v>42</v>
      </c>
      <c r="D49" s="5">
        <f>1/E48</f>
        <v>0.5</v>
      </c>
      <c r="E49" s="3">
        <v>1.0</v>
      </c>
      <c r="F49" s="3">
        <v>3.0</v>
      </c>
      <c r="G49" s="3">
        <v>3.0</v>
      </c>
      <c r="H49" s="3" t="s">
        <v>42</v>
      </c>
      <c r="J49" s="3" t="s">
        <v>42</v>
      </c>
      <c r="K49" s="5">
        <f>1/L48</f>
        <v>0.1111111111</v>
      </c>
      <c r="L49" s="3">
        <v>1.0</v>
      </c>
      <c r="M49" s="3">
        <v>1.0</v>
      </c>
      <c r="N49" s="3">
        <v>1.0</v>
      </c>
      <c r="O49" s="3" t="s">
        <v>43</v>
      </c>
    </row>
    <row r="50">
      <c r="C50" s="3" t="s">
        <v>43</v>
      </c>
      <c r="D50" s="5">
        <f>1/F48</f>
        <v>0.25</v>
      </c>
      <c r="E50" s="5">
        <f>1/F49</f>
        <v>0.3333333333</v>
      </c>
      <c r="F50" s="3">
        <v>1.0</v>
      </c>
      <c r="G50" s="3">
        <v>7.0</v>
      </c>
      <c r="H50" s="3" t="s">
        <v>44</v>
      </c>
      <c r="J50" s="3" t="s">
        <v>43</v>
      </c>
      <c r="K50" s="5">
        <f>1/M48</f>
        <v>0.1428571429</v>
      </c>
      <c r="L50" s="5">
        <f>1/M49</f>
        <v>1</v>
      </c>
      <c r="M50" s="3">
        <v>1.0</v>
      </c>
      <c r="N50" s="3">
        <v>3.0</v>
      </c>
      <c r="O50" s="3" t="s">
        <v>44</v>
      </c>
    </row>
    <row r="51">
      <c r="C51" s="3" t="s">
        <v>44</v>
      </c>
      <c r="D51" s="5">
        <f>1/G48</f>
        <v>0.3333333333</v>
      </c>
      <c r="E51" s="5">
        <f>1/G49</f>
        <v>0.3333333333</v>
      </c>
      <c r="F51" s="5">
        <f>1/G50</f>
        <v>0.1428571429</v>
      </c>
      <c r="G51" s="3">
        <v>1.0</v>
      </c>
      <c r="H51" s="3" t="s">
        <v>43</v>
      </c>
      <c r="J51" s="3" t="s">
        <v>44</v>
      </c>
      <c r="K51" s="5">
        <f>1/N48</f>
        <v>0.1428571429</v>
      </c>
      <c r="L51" s="5">
        <f>1/N49</f>
        <v>1</v>
      </c>
      <c r="M51" s="5">
        <f>1/N50</f>
        <v>0.3333333333</v>
      </c>
      <c r="N51" s="3">
        <v>1.0</v>
      </c>
      <c r="O51" s="3" t="s">
        <v>41</v>
      </c>
      <c r="P51" s="3" t="s">
        <v>45</v>
      </c>
    </row>
    <row r="53">
      <c r="C53" s="3" t="s">
        <v>46</v>
      </c>
      <c r="H53" s="3" t="s">
        <v>39</v>
      </c>
      <c r="J53" s="3" t="s">
        <v>47</v>
      </c>
      <c r="O53" s="3" t="s">
        <v>39</v>
      </c>
      <c r="P53" s="3" t="s">
        <v>48</v>
      </c>
    </row>
    <row r="54">
      <c r="C54" s="3" t="s">
        <v>31</v>
      </c>
      <c r="D54" s="3" t="s">
        <v>41</v>
      </c>
      <c r="E54" s="3" t="s">
        <v>42</v>
      </c>
      <c r="F54" s="3" t="s">
        <v>43</v>
      </c>
      <c r="G54" s="3" t="s">
        <v>44</v>
      </c>
      <c r="J54" s="3" t="s">
        <v>33</v>
      </c>
      <c r="K54" s="3" t="s">
        <v>41</v>
      </c>
      <c r="L54" s="3" t="s">
        <v>42</v>
      </c>
      <c r="M54" s="3" t="s">
        <v>43</v>
      </c>
      <c r="N54" s="3" t="s">
        <v>44</v>
      </c>
      <c r="O54" s="3" t="s">
        <v>43</v>
      </c>
      <c r="P54" s="3" t="s">
        <v>49</v>
      </c>
    </row>
    <row r="55">
      <c r="C55" s="3" t="s">
        <v>41</v>
      </c>
      <c r="D55" s="3">
        <v>1.0</v>
      </c>
      <c r="E55" s="3">
        <v>7.0</v>
      </c>
      <c r="F55" s="3">
        <v>7.0</v>
      </c>
      <c r="G55" s="3">
        <v>9.0</v>
      </c>
      <c r="H55" s="3" t="s">
        <v>44</v>
      </c>
      <c r="J55" s="3" t="s">
        <v>41</v>
      </c>
      <c r="K55" s="3">
        <v>1.0</v>
      </c>
      <c r="L55" s="3">
        <v>7.0</v>
      </c>
      <c r="M55" s="3">
        <v>9.0</v>
      </c>
      <c r="N55" s="3">
        <v>3.0</v>
      </c>
      <c r="O55" s="3" t="s">
        <v>42</v>
      </c>
      <c r="U55" s="3" t="s">
        <v>50</v>
      </c>
    </row>
    <row r="56">
      <c r="C56" s="3" t="s">
        <v>42</v>
      </c>
      <c r="D56" s="5">
        <f>1/E55</f>
        <v>0.1428571429</v>
      </c>
      <c r="E56" s="3">
        <v>1.0</v>
      </c>
      <c r="F56" s="3">
        <v>3.0</v>
      </c>
      <c r="G56" s="3">
        <v>8.0</v>
      </c>
      <c r="H56" s="3" t="s">
        <v>42</v>
      </c>
      <c r="J56" s="3" t="s">
        <v>42</v>
      </c>
      <c r="K56" s="5">
        <f>1/L55</f>
        <v>0.1428571429</v>
      </c>
      <c r="L56" s="3">
        <v>1.0</v>
      </c>
      <c r="M56" s="3">
        <v>7.0</v>
      </c>
      <c r="N56" s="3">
        <v>3.0</v>
      </c>
      <c r="O56" s="3" t="s">
        <v>41</v>
      </c>
      <c r="P56" s="3" t="s">
        <v>51</v>
      </c>
      <c r="U56" s="3" t="s">
        <v>52</v>
      </c>
    </row>
    <row r="57">
      <c r="C57" s="3" t="s">
        <v>43</v>
      </c>
      <c r="D57" s="5">
        <f>1/F55</f>
        <v>0.1428571429</v>
      </c>
      <c r="E57" s="5">
        <f>1/F56</f>
        <v>0.3333333333</v>
      </c>
      <c r="F57" s="3">
        <v>1.0</v>
      </c>
      <c r="G57" s="3">
        <v>7.0</v>
      </c>
      <c r="H57" s="3" t="s">
        <v>43</v>
      </c>
      <c r="J57" s="3" t="s">
        <v>43</v>
      </c>
      <c r="K57" s="3">
        <v>1.0</v>
      </c>
      <c r="L57" s="5">
        <f>1/M56</f>
        <v>0.1428571429</v>
      </c>
      <c r="M57" s="3">
        <v>1.0</v>
      </c>
      <c r="N57" s="3">
        <v>1.0</v>
      </c>
      <c r="O57" s="3" t="s">
        <v>44</v>
      </c>
      <c r="P57" s="3" t="s">
        <v>53</v>
      </c>
    </row>
    <row r="58">
      <c r="C58" s="3" t="s">
        <v>44</v>
      </c>
      <c r="D58" s="5">
        <f>1/G55</f>
        <v>0.1111111111</v>
      </c>
      <c r="E58" s="5">
        <f>1/G56</f>
        <v>0.125</v>
      </c>
      <c r="F58" s="5">
        <f>1/G57</f>
        <v>0.1428571429</v>
      </c>
      <c r="G58" s="3">
        <v>1.0</v>
      </c>
      <c r="H58" s="3" t="s">
        <v>41</v>
      </c>
      <c r="J58" s="3" t="s">
        <v>44</v>
      </c>
      <c r="K58" s="5">
        <f>1/N55</f>
        <v>0.3333333333</v>
      </c>
      <c r="L58" s="5">
        <f>1/N56</f>
        <v>0.3333333333</v>
      </c>
      <c r="M58" s="5">
        <f>1/N57</f>
        <v>1</v>
      </c>
      <c r="N58" s="3">
        <v>1.0</v>
      </c>
      <c r="P58" s="3" t="s">
        <v>54</v>
      </c>
    </row>
    <row r="59">
      <c r="P59" s="3" t="s">
        <v>55</v>
      </c>
    </row>
    <row r="60">
      <c r="A60" s="6"/>
      <c r="B60" s="7" t="s">
        <v>56</v>
      </c>
      <c r="C60" s="6"/>
      <c r="D60" s="6"/>
      <c r="E60" s="6"/>
      <c r="F60" s="6"/>
      <c r="G60" s="6"/>
      <c r="H60" s="6"/>
      <c r="I60" s="6"/>
      <c r="J60" s="6"/>
      <c r="K60" s="8" t="s">
        <v>57</v>
      </c>
      <c r="L60" s="6"/>
      <c r="M60" s="8" t="s">
        <v>58</v>
      </c>
      <c r="N60" s="6"/>
      <c r="O60" s="6"/>
      <c r="P60" s="6"/>
      <c r="Q60" s="6"/>
      <c r="R60" s="7" t="s">
        <v>59</v>
      </c>
      <c r="S60" s="6"/>
      <c r="T60" s="6"/>
      <c r="U60" s="6"/>
      <c r="V60" s="6"/>
      <c r="W60" s="6"/>
      <c r="X60" s="6"/>
      <c r="Y60" s="6"/>
      <c r="Z60" s="6"/>
    </row>
    <row r="61" ht="41.25" customHeight="1">
      <c r="S61" s="3" t="s">
        <v>60</v>
      </c>
      <c r="U61" s="9" t="s">
        <v>61</v>
      </c>
    </row>
    <row r="62">
      <c r="B62" s="3" t="s">
        <v>62</v>
      </c>
      <c r="F62" s="3" t="s">
        <v>30</v>
      </c>
      <c r="G62" s="3" t="s">
        <v>31</v>
      </c>
      <c r="H62" s="3" t="s">
        <v>32</v>
      </c>
      <c r="I62" s="3" t="s">
        <v>33</v>
      </c>
      <c r="K62" s="3" t="s">
        <v>63</v>
      </c>
      <c r="L62" s="3" t="s">
        <v>64</v>
      </c>
      <c r="M62" s="3" t="s">
        <v>65</v>
      </c>
      <c r="N62" s="10"/>
      <c r="P62" s="3" t="s">
        <v>66</v>
      </c>
      <c r="R62" s="3">
        <v>4.0</v>
      </c>
      <c r="S62" s="3">
        <v>0.9</v>
      </c>
    </row>
    <row r="63">
      <c r="B63" s="3" t="s">
        <v>67</v>
      </c>
      <c r="E63" s="3" t="s">
        <v>30</v>
      </c>
      <c r="F63" s="3">
        <v>1.0</v>
      </c>
      <c r="G63" s="3">
        <v>4.0</v>
      </c>
      <c r="H63" s="3">
        <v>3.0</v>
      </c>
      <c r="I63" s="3">
        <v>4.0</v>
      </c>
      <c r="K63" s="5">
        <f t="shared" ref="K63:K66" si="1">POWER(PRODUCT(F63:I63),1/4)</f>
        <v>2.632148026</v>
      </c>
      <c r="L63" s="5">
        <f>SUM(K63:K66)</f>
        <v>4.950466633</v>
      </c>
      <c r="M63" s="5">
        <f>K63/L63</f>
        <v>0.5316969532</v>
      </c>
      <c r="N63" s="10">
        <f t="shared" ref="N63:N67" si="2">M63</f>
        <v>0.5316969532</v>
      </c>
      <c r="P63" s="5">
        <f>F67*M63</f>
        <v>0.9747777476</v>
      </c>
    </row>
    <row r="64">
      <c r="B64" s="3" t="s">
        <v>68</v>
      </c>
      <c r="E64" s="3" t="s">
        <v>31</v>
      </c>
      <c r="F64" s="5">
        <f>1/G63</f>
        <v>0.25</v>
      </c>
      <c r="G64" s="3">
        <v>1.0</v>
      </c>
      <c r="H64" s="3">
        <v>2.0</v>
      </c>
      <c r="I64" s="3">
        <v>3.0</v>
      </c>
      <c r="K64" s="5">
        <f t="shared" si="1"/>
        <v>1.10668192</v>
      </c>
      <c r="M64" s="5">
        <f>K64/L63</f>
        <v>0.223551031</v>
      </c>
      <c r="N64" s="10">
        <f t="shared" si="2"/>
        <v>0.223551031</v>
      </c>
      <c r="P64" s="5">
        <f>G67*M64</f>
        <v>1.304047681</v>
      </c>
      <c r="S64" s="3" t="s">
        <v>69</v>
      </c>
    </row>
    <row r="65">
      <c r="B65" s="3" t="s">
        <v>70</v>
      </c>
      <c r="E65" s="3" t="s">
        <v>32</v>
      </c>
      <c r="F65" s="5">
        <f>1/H63</f>
        <v>0.3333333333</v>
      </c>
      <c r="G65" s="5">
        <f>1/H64</f>
        <v>0.5</v>
      </c>
      <c r="H65" s="3">
        <v>1.0</v>
      </c>
      <c r="I65" s="3">
        <v>2.0</v>
      </c>
      <c r="K65" s="5">
        <f t="shared" si="1"/>
        <v>0.7598356857</v>
      </c>
      <c r="M65" s="5">
        <f>K65/L63</f>
        <v>0.1534876895</v>
      </c>
      <c r="N65" s="10">
        <f t="shared" si="2"/>
        <v>0.1534876895</v>
      </c>
      <c r="P65" s="5">
        <f>H67*M65</f>
        <v>0.997669982</v>
      </c>
      <c r="S65" s="3" t="s">
        <v>71</v>
      </c>
    </row>
    <row r="66">
      <c r="E66" s="3" t="s">
        <v>33</v>
      </c>
      <c r="F66" s="5">
        <f>1/I63</f>
        <v>0.25</v>
      </c>
      <c r="G66" s="5">
        <f>1/I64</f>
        <v>0.3333333333</v>
      </c>
      <c r="H66" s="5">
        <f>1/I65</f>
        <v>0.5</v>
      </c>
      <c r="I66" s="3">
        <v>1.0</v>
      </c>
      <c r="K66" s="5">
        <f t="shared" si="1"/>
        <v>0.4518010018</v>
      </c>
      <c r="M66" s="5">
        <f>K66/L63</f>
        <v>0.09126432623</v>
      </c>
      <c r="N66" s="10">
        <f t="shared" si="2"/>
        <v>0.09126432623</v>
      </c>
      <c r="P66" s="5">
        <f>I67*M66</f>
        <v>0.9126432623</v>
      </c>
      <c r="Q66" s="3" t="s">
        <v>72</v>
      </c>
    </row>
    <row r="67">
      <c r="E67" s="3" t="s">
        <v>73</v>
      </c>
      <c r="F67" s="5">
        <f t="shared" ref="F67:I67" si="3">SUM(F63:F66)</f>
        <v>1.833333333</v>
      </c>
      <c r="G67" s="5">
        <f t="shared" si="3"/>
        <v>5.833333333</v>
      </c>
      <c r="H67" s="5">
        <f t="shared" si="3"/>
        <v>6.5</v>
      </c>
      <c r="I67" s="5">
        <f t="shared" si="3"/>
        <v>10</v>
      </c>
      <c r="L67" s="3" t="s">
        <v>74</v>
      </c>
      <c r="M67" s="5">
        <f>SUM(M63:M66)</f>
        <v>1</v>
      </c>
      <c r="N67" s="10">
        <f t="shared" si="2"/>
        <v>1</v>
      </c>
      <c r="O67" s="3" t="s">
        <v>75</v>
      </c>
      <c r="P67" s="5">
        <f>SUM(P63:P66)</f>
        <v>4.189138673</v>
      </c>
      <c r="Q67" s="5">
        <f>(P67-4)/(4-1)</f>
        <v>0.06304622424</v>
      </c>
      <c r="R67" s="3" t="s">
        <v>76</v>
      </c>
      <c r="S67" s="5">
        <f>Q67/S62</f>
        <v>0.07005136026</v>
      </c>
    </row>
    <row r="68">
      <c r="B68" s="3"/>
      <c r="F68" s="3" t="s">
        <v>77</v>
      </c>
      <c r="G68" s="3" t="s">
        <v>78</v>
      </c>
      <c r="H68" s="3" t="s">
        <v>79</v>
      </c>
      <c r="I68" s="3" t="s">
        <v>80</v>
      </c>
      <c r="N68" s="10"/>
    </row>
    <row r="69">
      <c r="B69" s="3"/>
      <c r="N69" s="10"/>
    </row>
    <row r="70">
      <c r="B70" s="3" t="s">
        <v>45</v>
      </c>
      <c r="N70" s="10"/>
    </row>
    <row r="71">
      <c r="E71" s="3" t="s">
        <v>38</v>
      </c>
      <c r="J71" s="3" t="s">
        <v>39</v>
      </c>
      <c r="K71" s="3" t="s">
        <v>81</v>
      </c>
      <c r="M71" s="3" t="s">
        <v>81</v>
      </c>
      <c r="N71" s="10"/>
    </row>
    <row r="72">
      <c r="B72" s="3" t="s">
        <v>48</v>
      </c>
      <c r="E72" s="3" t="s">
        <v>30</v>
      </c>
      <c r="F72" s="3" t="s">
        <v>41</v>
      </c>
      <c r="G72" s="3" t="s">
        <v>42</v>
      </c>
      <c r="H72" s="3" t="s">
        <v>43</v>
      </c>
      <c r="I72" s="3" t="s">
        <v>44</v>
      </c>
      <c r="L72" s="3" t="s">
        <v>64</v>
      </c>
      <c r="N72" s="10" t="str">
        <f t="shared" ref="N72:N77" si="4">M72</f>
        <v/>
      </c>
      <c r="P72" s="3" t="s">
        <v>66</v>
      </c>
    </row>
    <row r="73">
      <c r="B73" s="3" t="s">
        <v>49</v>
      </c>
      <c r="E73" s="3" t="s">
        <v>41</v>
      </c>
      <c r="F73" s="3">
        <v>1.0</v>
      </c>
      <c r="G73" s="3">
        <v>1.0</v>
      </c>
      <c r="H73" s="3">
        <v>3.0</v>
      </c>
      <c r="I73" s="3">
        <v>3.0</v>
      </c>
      <c r="J73" s="3" t="s">
        <v>41</v>
      </c>
      <c r="K73" s="5">
        <f t="shared" ref="K73:K76" si="5">POWER(PRODUCT(F73:I73),1/4)</f>
        <v>1.732050808</v>
      </c>
      <c r="L73" s="5">
        <f>K73+K74+K75+K76</f>
        <v>4.638675575</v>
      </c>
      <c r="M73" s="5">
        <f>K73/L73</f>
        <v>0.3733933921</v>
      </c>
      <c r="N73" s="10">
        <f t="shared" si="4"/>
        <v>0.3733933921</v>
      </c>
      <c r="P73" s="5">
        <f>F77*M73</f>
        <v>0.9957157121</v>
      </c>
    </row>
    <row r="74">
      <c r="E74" s="3" t="s">
        <v>42</v>
      </c>
      <c r="F74" s="5">
        <f>1/G73</f>
        <v>1</v>
      </c>
      <c r="G74" s="3">
        <v>1.0</v>
      </c>
      <c r="H74" s="3">
        <v>2.0</v>
      </c>
      <c r="I74" s="3">
        <v>3.0</v>
      </c>
      <c r="J74" s="3" t="s">
        <v>42</v>
      </c>
      <c r="K74" s="5">
        <f t="shared" si="5"/>
        <v>1.56508458</v>
      </c>
      <c r="M74" s="5">
        <f>K74/L73</f>
        <v>0.3373990172</v>
      </c>
      <c r="N74" s="10">
        <f t="shared" si="4"/>
        <v>0.3373990172</v>
      </c>
      <c r="P74" s="5">
        <f>G77*M74</f>
        <v>0.9559638821</v>
      </c>
    </row>
    <row r="75">
      <c r="B75" s="3" t="s">
        <v>51</v>
      </c>
      <c r="E75" s="3" t="s">
        <v>43</v>
      </c>
      <c r="F75" s="5">
        <f>1/H73</f>
        <v>0.3333333333</v>
      </c>
      <c r="G75" s="5">
        <f>1/H74</f>
        <v>0.5</v>
      </c>
      <c r="H75" s="3">
        <v>1.0</v>
      </c>
      <c r="I75" s="3">
        <v>5.0</v>
      </c>
      <c r="J75" s="3" t="s">
        <v>44</v>
      </c>
      <c r="K75" s="5">
        <f t="shared" si="5"/>
        <v>0.9554427922</v>
      </c>
      <c r="M75" s="5">
        <f>K75/L73</f>
        <v>0.2059731871</v>
      </c>
      <c r="N75" s="10">
        <f t="shared" si="4"/>
        <v>0.2059731871</v>
      </c>
      <c r="P75" s="5">
        <f>H77*M75</f>
        <v>1.27703376</v>
      </c>
    </row>
    <row r="76">
      <c r="B76" s="3" t="s">
        <v>53</v>
      </c>
      <c r="E76" s="3" t="s">
        <v>44</v>
      </c>
      <c r="F76" s="5">
        <f>1/I73</f>
        <v>0.3333333333</v>
      </c>
      <c r="G76" s="5">
        <f>1/I74</f>
        <v>0.3333333333</v>
      </c>
      <c r="H76" s="5">
        <f>1/I75</f>
        <v>0.2</v>
      </c>
      <c r="I76" s="3">
        <v>1.0</v>
      </c>
      <c r="J76" s="3" t="s">
        <v>43</v>
      </c>
      <c r="K76" s="5">
        <f t="shared" si="5"/>
        <v>0.3860973951</v>
      </c>
      <c r="M76" s="5">
        <f>K76/L73</f>
        <v>0.08323440363</v>
      </c>
      <c r="N76" s="10">
        <f t="shared" si="4"/>
        <v>0.08323440363</v>
      </c>
      <c r="P76" s="3">
        <f>I77*M76</f>
        <v>0.9988128435</v>
      </c>
    </row>
    <row r="77">
      <c r="B77" s="3" t="s">
        <v>54</v>
      </c>
      <c r="E77" s="3" t="s">
        <v>73</v>
      </c>
      <c r="F77" s="5">
        <f t="shared" ref="F77:I77" si="6">SUM(F73:F76)</f>
        <v>2.666666667</v>
      </c>
      <c r="G77" s="5">
        <f t="shared" si="6"/>
        <v>2.833333333</v>
      </c>
      <c r="H77" s="5">
        <f t="shared" si="6"/>
        <v>6.2</v>
      </c>
      <c r="I77" s="5">
        <f t="shared" si="6"/>
        <v>12</v>
      </c>
      <c r="M77" s="5">
        <f>SUM(M71:M76)</f>
        <v>1</v>
      </c>
      <c r="N77" s="10">
        <f t="shared" si="4"/>
        <v>1</v>
      </c>
      <c r="O77" s="3" t="s">
        <v>75</v>
      </c>
      <c r="P77" s="5">
        <f>SUM(P73:P76)</f>
        <v>4.227526198</v>
      </c>
      <c r="Q77" s="5">
        <f>(P77-4)/(4-1)</f>
        <v>0.07584206596</v>
      </c>
      <c r="S77" s="5">
        <f>Q77/S62</f>
        <v>0.08426896218</v>
      </c>
      <c r="U77" s="5">
        <f>P63*P73+P64*P74+P65*P75+P66*P76</f>
        <v>4.402842063</v>
      </c>
    </row>
    <row r="78">
      <c r="B78" s="3" t="s">
        <v>55</v>
      </c>
      <c r="E78" s="3"/>
      <c r="F78" s="3" t="s">
        <v>77</v>
      </c>
      <c r="G78" s="3" t="s">
        <v>78</v>
      </c>
      <c r="H78" s="3" t="s">
        <v>79</v>
      </c>
      <c r="I78" s="3" t="s">
        <v>80</v>
      </c>
      <c r="J78" s="3"/>
      <c r="N78" s="10"/>
    </row>
    <row r="79">
      <c r="B79" s="3"/>
      <c r="E79" s="3"/>
      <c r="J79" s="3"/>
      <c r="N79" s="10"/>
    </row>
    <row r="80">
      <c r="B80" s="11" t="s">
        <v>82</v>
      </c>
      <c r="E80" s="3" t="s">
        <v>46</v>
      </c>
      <c r="J80" s="3" t="s">
        <v>39</v>
      </c>
      <c r="N80" s="10" t="str">
        <f t="shared" ref="N80:N86" si="7">M80</f>
        <v/>
      </c>
    </row>
    <row r="81">
      <c r="E81" s="3" t="s">
        <v>31</v>
      </c>
      <c r="F81" s="3" t="s">
        <v>41</v>
      </c>
      <c r="G81" s="3" t="s">
        <v>42</v>
      </c>
      <c r="H81" s="3" t="s">
        <v>43</v>
      </c>
      <c r="I81" s="3" t="s">
        <v>44</v>
      </c>
      <c r="N81" s="10" t="str">
        <f t="shared" si="7"/>
        <v/>
      </c>
    </row>
    <row r="82">
      <c r="E82" s="3" t="s">
        <v>41</v>
      </c>
      <c r="F82" s="3">
        <v>1.0</v>
      </c>
      <c r="G82" s="3">
        <v>5.0</v>
      </c>
      <c r="H82" s="3">
        <v>5.0</v>
      </c>
      <c r="I82" s="3">
        <v>9.0</v>
      </c>
      <c r="J82" s="3" t="s">
        <v>44</v>
      </c>
      <c r="K82" s="5">
        <f t="shared" ref="K82:K85" si="8">POWER(PRODUCT(F82:I82),1/4)</f>
        <v>3.872983346</v>
      </c>
      <c r="L82" s="5">
        <f>K82+K83+K84+K85</f>
        <v>6.08161186</v>
      </c>
      <c r="M82" s="5">
        <f>K82/L82</f>
        <v>0.6368350094</v>
      </c>
      <c r="N82" s="10">
        <f t="shared" si="7"/>
        <v>0.6368350094</v>
      </c>
      <c r="P82" s="5">
        <f>F86*M82</f>
        <v>0.9623284587</v>
      </c>
    </row>
    <row r="83">
      <c r="E83" s="3" t="s">
        <v>42</v>
      </c>
      <c r="F83" s="5">
        <f>1/G82</f>
        <v>0.2</v>
      </c>
      <c r="G83" s="3">
        <v>1.0</v>
      </c>
      <c r="H83" s="3">
        <v>2.0</v>
      </c>
      <c r="I83" s="3">
        <v>4.0</v>
      </c>
      <c r="J83" s="3" t="s">
        <v>42</v>
      </c>
      <c r="K83" s="5">
        <f t="shared" si="8"/>
        <v>1.12468265</v>
      </c>
      <c r="M83" s="5">
        <f>K83/L82</f>
        <v>0.1849316721</v>
      </c>
      <c r="N83" s="10">
        <f t="shared" si="7"/>
        <v>0.1849316721</v>
      </c>
      <c r="P83" s="5">
        <f>G86*M83</f>
        <v>1.248288787</v>
      </c>
    </row>
    <row r="84">
      <c r="E84" s="3" t="s">
        <v>43</v>
      </c>
      <c r="F84" s="5">
        <f>1/H82</f>
        <v>0.2</v>
      </c>
      <c r="G84" s="5">
        <f>1/H83</f>
        <v>0.5</v>
      </c>
      <c r="H84" s="3">
        <v>1.0</v>
      </c>
      <c r="I84" s="3">
        <v>4.0</v>
      </c>
      <c r="J84" s="3" t="s">
        <v>43</v>
      </c>
      <c r="K84" s="5">
        <f t="shared" si="8"/>
        <v>0.7952707288</v>
      </c>
      <c r="M84" s="5">
        <f>K84/L82</f>
        <v>0.1307664394</v>
      </c>
      <c r="N84" s="10">
        <f t="shared" si="7"/>
        <v>0.1307664394</v>
      </c>
      <c r="P84" s="5">
        <f>H86*M84</f>
        <v>1.078823125</v>
      </c>
    </row>
    <row r="85">
      <c r="E85" s="3" t="s">
        <v>44</v>
      </c>
      <c r="F85" s="5">
        <f>1/I82</f>
        <v>0.1111111111</v>
      </c>
      <c r="G85" s="5">
        <f>1/I83</f>
        <v>0.25</v>
      </c>
      <c r="H85" s="5">
        <f>1/I84</f>
        <v>0.25</v>
      </c>
      <c r="I85" s="3">
        <v>1.0</v>
      </c>
      <c r="J85" s="3" t="s">
        <v>41</v>
      </c>
      <c r="K85" s="5">
        <f t="shared" si="8"/>
        <v>0.2886751346</v>
      </c>
      <c r="M85" s="5">
        <f>K85/L82</f>
        <v>0.04746687905</v>
      </c>
      <c r="N85" s="10">
        <f t="shared" si="7"/>
        <v>0.04746687905</v>
      </c>
      <c r="P85" s="5">
        <f>I86*M85</f>
        <v>0.8544038229</v>
      </c>
    </row>
    <row r="86">
      <c r="E86" s="3" t="s">
        <v>73</v>
      </c>
      <c r="F86" s="5">
        <f t="shared" ref="F86:I86" si="9">SUM(F82:F85)</f>
        <v>1.511111111</v>
      </c>
      <c r="G86" s="5">
        <f t="shared" si="9"/>
        <v>6.75</v>
      </c>
      <c r="H86" s="5">
        <f t="shared" si="9"/>
        <v>8.25</v>
      </c>
      <c r="I86" s="5">
        <f t="shared" si="9"/>
        <v>18</v>
      </c>
      <c r="M86" s="5">
        <f>SUM(M82:M85)</f>
        <v>1</v>
      </c>
      <c r="N86" s="10">
        <f t="shared" si="7"/>
        <v>1</v>
      </c>
      <c r="O86" s="3" t="s">
        <v>75</v>
      </c>
      <c r="P86" s="5">
        <f>SUM(P82:P85)</f>
        <v>4.143844193</v>
      </c>
      <c r="Q86" s="5">
        <f>(P86-4)/(4-1)</f>
        <v>0.04794806449</v>
      </c>
      <c r="S86" s="5">
        <f>Q86/S62</f>
        <v>0.05327562721</v>
      </c>
      <c r="U86" s="6">
        <f>P63*P82+P64*P83+P65*P84+P66*P85</f>
        <v>4.421959805</v>
      </c>
    </row>
    <row r="87">
      <c r="E87" s="3"/>
      <c r="F87" s="3" t="s">
        <v>77</v>
      </c>
      <c r="G87" s="3" t="s">
        <v>78</v>
      </c>
      <c r="H87" s="3" t="s">
        <v>79</v>
      </c>
      <c r="I87" s="3" t="s">
        <v>80</v>
      </c>
      <c r="J87" s="3"/>
      <c r="N87" s="10"/>
    </row>
    <row r="88">
      <c r="E88" s="3"/>
      <c r="J88" s="3"/>
      <c r="N88" s="10"/>
    </row>
    <row r="89">
      <c r="E89" s="3" t="s">
        <v>40</v>
      </c>
      <c r="J89" s="3" t="s">
        <v>39</v>
      </c>
      <c r="N89" s="10" t="str">
        <f t="shared" ref="N89:N95" si="10">M89</f>
        <v/>
      </c>
    </row>
    <row r="90">
      <c r="E90" s="3" t="s">
        <v>32</v>
      </c>
      <c r="F90" s="3" t="s">
        <v>41</v>
      </c>
      <c r="G90" s="3" t="s">
        <v>42</v>
      </c>
      <c r="H90" s="3" t="s">
        <v>43</v>
      </c>
      <c r="I90" s="3" t="s">
        <v>44</v>
      </c>
      <c r="N90" s="10" t="str">
        <f t="shared" si="10"/>
        <v/>
      </c>
    </row>
    <row r="91">
      <c r="E91" s="3" t="s">
        <v>41</v>
      </c>
      <c r="F91" s="3">
        <v>1.0</v>
      </c>
      <c r="G91" s="3">
        <v>9.0</v>
      </c>
      <c r="H91" s="3">
        <v>7.0</v>
      </c>
      <c r="I91" s="3">
        <v>7.0</v>
      </c>
      <c r="J91" s="3" t="s">
        <v>42</v>
      </c>
      <c r="K91" s="5">
        <f t="shared" ref="K91:K94" si="11">POWER(PRODUCT(F91:I91),1/4)</f>
        <v>4.582575695</v>
      </c>
      <c r="L91" s="5">
        <f>K91+K92+K93+K94</f>
        <v>6.436170653</v>
      </c>
      <c r="M91" s="5">
        <f>K91/L91</f>
        <v>0.7120034477</v>
      </c>
      <c r="N91" s="10">
        <f t="shared" si="10"/>
        <v>0.7120034477</v>
      </c>
      <c r="P91" s="5">
        <f>F95*M91</f>
        <v>0.9945444983</v>
      </c>
    </row>
    <row r="92">
      <c r="E92" s="3" t="s">
        <v>42</v>
      </c>
      <c r="F92" s="5">
        <f>1/G91</f>
        <v>0.1111111111</v>
      </c>
      <c r="G92" s="3">
        <v>1.0</v>
      </c>
      <c r="H92" s="3">
        <v>1.0</v>
      </c>
      <c r="I92" s="3">
        <v>1.0</v>
      </c>
      <c r="J92" s="3" t="s">
        <v>43</v>
      </c>
      <c r="K92" s="5">
        <f t="shared" si="11"/>
        <v>0.5773502692</v>
      </c>
      <c r="M92" s="5">
        <f>K92/L91</f>
        <v>0.08970400262</v>
      </c>
      <c r="N92" s="10">
        <f t="shared" si="10"/>
        <v>0.08970400262</v>
      </c>
      <c r="P92" s="5">
        <f>G95*M92</f>
        <v>1.076448031</v>
      </c>
    </row>
    <row r="93">
      <c r="E93" s="3" t="s">
        <v>43</v>
      </c>
      <c r="F93" s="5">
        <f>1/H91</f>
        <v>0.1428571429</v>
      </c>
      <c r="G93" s="5">
        <f>1/H92</f>
        <v>1</v>
      </c>
      <c r="H93" s="3">
        <v>1.0</v>
      </c>
      <c r="I93" s="3">
        <v>3.0</v>
      </c>
      <c r="J93" s="3" t="s">
        <v>44</v>
      </c>
      <c r="K93" s="5">
        <f t="shared" si="11"/>
        <v>0.8091067116</v>
      </c>
      <c r="M93" s="5">
        <f>K93/L91</f>
        <v>0.1257124391</v>
      </c>
      <c r="N93" s="10">
        <f t="shared" si="10"/>
        <v>0.1257124391</v>
      </c>
      <c r="P93" s="5">
        <f>H95*M93</f>
        <v>1.173316099</v>
      </c>
    </row>
    <row r="94">
      <c r="E94" s="3" t="s">
        <v>44</v>
      </c>
      <c r="F94" s="5">
        <f>1/I91</f>
        <v>0.1428571429</v>
      </c>
      <c r="G94" s="5">
        <f>1/I92</f>
        <v>1</v>
      </c>
      <c r="H94" s="5">
        <f>1/I93</f>
        <v>0.3333333333</v>
      </c>
      <c r="I94" s="3">
        <v>1.0</v>
      </c>
      <c r="J94" s="3" t="s">
        <v>41</v>
      </c>
      <c r="K94" s="5">
        <f t="shared" si="11"/>
        <v>0.4671379777</v>
      </c>
      <c r="M94" s="5">
        <f>K94/L91</f>
        <v>0.07258011058</v>
      </c>
      <c r="N94" s="10">
        <f t="shared" si="10"/>
        <v>0.07258011058</v>
      </c>
      <c r="P94" s="5">
        <f>I95*M94</f>
        <v>0.8709613269</v>
      </c>
    </row>
    <row r="95">
      <c r="E95" s="3" t="s">
        <v>73</v>
      </c>
      <c r="F95" s="5">
        <f t="shared" ref="F95:I95" si="12">SUM(F91:F94)</f>
        <v>1.396825397</v>
      </c>
      <c r="G95" s="5">
        <f t="shared" si="12"/>
        <v>12</v>
      </c>
      <c r="H95" s="5">
        <f t="shared" si="12"/>
        <v>9.333333333</v>
      </c>
      <c r="I95" s="5">
        <f t="shared" si="12"/>
        <v>12</v>
      </c>
      <c r="M95" s="5">
        <f>SUM(M91:M94)</f>
        <v>1</v>
      </c>
      <c r="N95" s="10">
        <f t="shared" si="10"/>
        <v>1</v>
      </c>
      <c r="O95" s="3" t="s">
        <v>75</v>
      </c>
      <c r="P95" s="5">
        <f>SUM(P91:P94)</f>
        <v>4.115269955</v>
      </c>
      <c r="Q95" s="5">
        <f>(P95-4)/(4-1)</f>
        <v>0.03842331847</v>
      </c>
      <c r="S95" s="5">
        <f>Q95/S62</f>
        <v>0.04269257607</v>
      </c>
      <c r="U95" s="5">
        <f>P63*P91+P64*P92+P65*P93+P66*P94</f>
        <v>4.338658643</v>
      </c>
    </row>
    <row r="96">
      <c r="E96" s="3"/>
      <c r="F96" s="3" t="s">
        <v>77</v>
      </c>
      <c r="G96" s="3" t="s">
        <v>78</v>
      </c>
      <c r="H96" s="3" t="s">
        <v>79</v>
      </c>
      <c r="I96" s="3" t="s">
        <v>80</v>
      </c>
      <c r="J96" s="3"/>
      <c r="N96" s="10"/>
    </row>
    <row r="97">
      <c r="E97" s="3"/>
      <c r="J97" s="3"/>
      <c r="N97" s="10"/>
    </row>
    <row r="98">
      <c r="E98" s="3" t="s">
        <v>47</v>
      </c>
      <c r="J98" s="3" t="s">
        <v>39</v>
      </c>
      <c r="N98" s="10" t="str">
        <f t="shared" ref="N98:N104" si="13">M98</f>
        <v/>
      </c>
    </row>
    <row r="99">
      <c r="E99" s="3" t="s">
        <v>33</v>
      </c>
      <c r="F99" s="3" t="s">
        <v>41</v>
      </c>
      <c r="G99" s="3" t="s">
        <v>42</v>
      </c>
      <c r="H99" s="3" t="s">
        <v>43</v>
      </c>
      <c r="I99" s="3" t="s">
        <v>44</v>
      </c>
      <c r="J99" s="3" t="s">
        <v>43</v>
      </c>
      <c r="N99" s="10" t="str">
        <f t="shared" si="13"/>
        <v/>
      </c>
    </row>
    <row r="100">
      <c r="E100" s="3" t="s">
        <v>41</v>
      </c>
      <c r="F100" s="3">
        <v>1.0</v>
      </c>
      <c r="G100" s="3">
        <v>2.0</v>
      </c>
      <c r="H100" s="3">
        <v>1.0</v>
      </c>
      <c r="I100" s="3">
        <v>2.0</v>
      </c>
      <c r="J100" s="3" t="s">
        <v>42</v>
      </c>
      <c r="K100" s="5">
        <f t="shared" ref="K100:K103" si="14">POWER(PRODUCT(F100:I100),1/4)</f>
        <v>1.414213562</v>
      </c>
      <c r="L100" s="5">
        <f>K100+K101+K102+K103</f>
        <v>4.121320344</v>
      </c>
      <c r="M100" s="5">
        <f>K100/L100</f>
        <v>0.3431457505</v>
      </c>
      <c r="N100" s="10">
        <f t="shared" si="13"/>
        <v>0.3431457505</v>
      </c>
      <c r="P100" s="5">
        <f>F104*M100</f>
        <v>1.029437252</v>
      </c>
    </row>
    <row r="101">
      <c r="E101" s="3" t="s">
        <v>42</v>
      </c>
      <c r="F101" s="5">
        <f>1/G100</f>
        <v>0.5</v>
      </c>
      <c r="G101" s="3">
        <v>1.0</v>
      </c>
      <c r="H101" s="3">
        <v>1.0</v>
      </c>
      <c r="I101" s="3">
        <v>2.0</v>
      </c>
      <c r="J101" s="3" t="s">
        <v>41</v>
      </c>
      <c r="K101" s="5">
        <f t="shared" si="14"/>
        <v>1</v>
      </c>
      <c r="M101" s="5">
        <f>K101/L100</f>
        <v>0.2426406871</v>
      </c>
      <c r="N101" s="10">
        <f t="shared" si="13"/>
        <v>0.2426406871</v>
      </c>
      <c r="P101" s="5">
        <f>G104*M101</f>
        <v>1.091883092</v>
      </c>
    </row>
    <row r="102">
      <c r="E102" s="3" t="s">
        <v>43</v>
      </c>
      <c r="F102" s="3">
        <v>1.0</v>
      </c>
      <c r="G102" s="5">
        <f>1/H101</f>
        <v>1</v>
      </c>
      <c r="H102" s="3">
        <v>1.0</v>
      </c>
      <c r="I102" s="3">
        <v>1.0</v>
      </c>
      <c r="J102" s="3" t="s">
        <v>44</v>
      </c>
      <c r="K102" s="5">
        <f t="shared" si="14"/>
        <v>1</v>
      </c>
      <c r="M102" s="5">
        <f>K102/L100</f>
        <v>0.2426406871</v>
      </c>
      <c r="N102" s="10">
        <f t="shared" si="13"/>
        <v>0.2426406871</v>
      </c>
      <c r="P102" s="5">
        <f>H104*M102</f>
        <v>0.9705627485</v>
      </c>
    </row>
    <row r="103">
      <c r="E103" s="3" t="s">
        <v>44</v>
      </c>
      <c r="F103" s="5">
        <f>1/I100</f>
        <v>0.5</v>
      </c>
      <c r="G103" s="5">
        <f>1/I101</f>
        <v>0.5</v>
      </c>
      <c r="H103" s="5">
        <f>1/I102</f>
        <v>1</v>
      </c>
      <c r="I103" s="3">
        <v>1.0</v>
      </c>
      <c r="K103" s="5">
        <f t="shared" si="14"/>
        <v>0.7071067812</v>
      </c>
      <c r="M103" s="5">
        <f>K103/L100</f>
        <v>0.1715728753</v>
      </c>
      <c r="N103" s="10">
        <f t="shared" si="13"/>
        <v>0.1715728753</v>
      </c>
      <c r="P103" s="5">
        <f>I104*M103</f>
        <v>1.029437252</v>
      </c>
    </row>
    <row r="104">
      <c r="E104" s="3" t="s">
        <v>73</v>
      </c>
      <c r="F104" s="5">
        <f t="shared" ref="F104:I104" si="15">SUM(F100:F103)</f>
        <v>3</v>
      </c>
      <c r="G104" s="5">
        <f t="shared" si="15"/>
        <v>4.5</v>
      </c>
      <c r="H104" s="5">
        <f t="shared" si="15"/>
        <v>4</v>
      </c>
      <c r="I104" s="5">
        <f t="shared" si="15"/>
        <v>6</v>
      </c>
      <c r="M104" s="5">
        <f>SUM(M100:M103)</f>
        <v>1</v>
      </c>
      <c r="N104" s="10">
        <f t="shared" si="13"/>
        <v>1</v>
      </c>
      <c r="O104" s="3" t="s">
        <v>75</v>
      </c>
      <c r="P104" s="5">
        <f>SUM(P100:P103)</f>
        <v>4.121320344</v>
      </c>
      <c r="Q104" s="5">
        <f>(P104-4)/(4-1)</f>
        <v>0.04044011452</v>
      </c>
      <c r="S104" s="5">
        <f>Q104/S62</f>
        <v>0.04493346058</v>
      </c>
      <c r="U104" s="5">
        <f>P63*P100+P64*P101+P65*P102+P66*P103</f>
        <v>4.335150431</v>
      </c>
    </row>
    <row r="105">
      <c r="F105" s="3" t="s">
        <v>77</v>
      </c>
      <c r="G105" s="3" t="s">
        <v>78</v>
      </c>
      <c r="H105" s="3" t="s">
        <v>79</v>
      </c>
      <c r="I105" s="3" t="s">
        <v>80</v>
      </c>
      <c r="R105" s="12" t="s">
        <v>84</v>
      </c>
      <c r="T105" s="3" t="s">
        <v>85</v>
      </c>
      <c r="U105" s="5">
        <f>MAX(U77,U86,U95,U104)</f>
        <v>4.421959805</v>
      </c>
    </row>
    <row r="106">
      <c r="T106" s="3" t="s">
        <v>86</v>
      </c>
    </row>
    <row r="108">
      <c r="C108" s="12" t="s">
        <v>87</v>
      </c>
      <c r="R108" s="12" t="s">
        <v>87</v>
      </c>
    </row>
  </sheetData>
  <mergeCells count="4">
    <mergeCell ref="K60:K61"/>
    <mergeCell ref="M60:M61"/>
    <mergeCell ref="R60:R61"/>
    <mergeCell ref="B80:B8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8" max="8" width="12.88"/>
    <col customWidth="1" min="18" max="18" width="18.75"/>
  </cols>
  <sheetData>
    <row r="2">
      <c r="B2" s="1" t="s">
        <v>0</v>
      </c>
    </row>
    <row r="4">
      <c r="B4" s="2" t="s">
        <v>1</v>
      </c>
    </row>
    <row r="5">
      <c r="B5" s="2" t="s">
        <v>2</v>
      </c>
    </row>
    <row r="6">
      <c r="B6" s="2" t="s">
        <v>3</v>
      </c>
    </row>
    <row r="7">
      <c r="B7" s="2" t="s">
        <v>4</v>
      </c>
    </row>
    <row r="8">
      <c r="B8" s="2"/>
    </row>
    <row r="9">
      <c r="B9" s="3" t="s">
        <v>5</v>
      </c>
    </row>
    <row r="10">
      <c r="B10" s="3" t="s">
        <v>6</v>
      </c>
    </row>
    <row r="11">
      <c r="B11" s="3" t="s">
        <v>7</v>
      </c>
    </row>
    <row r="12">
      <c r="B12" s="3" t="s">
        <v>8</v>
      </c>
    </row>
    <row r="15">
      <c r="B15" s="4" t="s">
        <v>9</v>
      </c>
    </row>
    <row r="16">
      <c r="B16" s="3" t="s">
        <v>10</v>
      </c>
    </row>
    <row r="17">
      <c r="B17" s="3" t="s">
        <v>11</v>
      </c>
    </row>
    <row r="19">
      <c r="C19" s="3" t="s">
        <v>12</v>
      </c>
    </row>
    <row r="20">
      <c r="B20" s="3" t="s">
        <v>13</v>
      </c>
    </row>
    <row r="21">
      <c r="C21" s="3" t="s">
        <v>14</v>
      </c>
    </row>
    <row r="22">
      <c r="C22" s="3" t="s">
        <v>15</v>
      </c>
    </row>
    <row r="23">
      <c r="C23" s="3" t="s">
        <v>16</v>
      </c>
    </row>
    <row r="24">
      <c r="C24" s="3" t="s">
        <v>17</v>
      </c>
    </row>
    <row r="25">
      <c r="B25" s="3" t="s">
        <v>8</v>
      </c>
    </row>
    <row r="26">
      <c r="C26" s="3" t="s">
        <v>18</v>
      </c>
    </row>
    <row r="27">
      <c r="C27" s="3" t="s">
        <v>19</v>
      </c>
    </row>
    <row r="28">
      <c r="C28" s="3" t="s">
        <v>20</v>
      </c>
    </row>
    <row r="29">
      <c r="C29" s="3" t="s">
        <v>21</v>
      </c>
    </row>
    <row r="32">
      <c r="B32" s="3" t="s">
        <v>22</v>
      </c>
    </row>
    <row r="33">
      <c r="B33" s="3" t="s">
        <v>23</v>
      </c>
    </row>
    <row r="34">
      <c r="B34" s="3" t="s">
        <v>24</v>
      </c>
      <c r="C34" s="3" t="s">
        <v>14</v>
      </c>
      <c r="E34" s="3" t="s">
        <v>25</v>
      </c>
    </row>
    <row r="35">
      <c r="C35" s="3" t="s">
        <v>16</v>
      </c>
      <c r="E35" s="3" t="s">
        <v>26</v>
      </c>
    </row>
    <row r="36">
      <c r="C36" s="3" t="s">
        <v>17</v>
      </c>
      <c r="E36" s="3" t="s">
        <v>27</v>
      </c>
    </row>
    <row r="37">
      <c r="C37" s="3" t="s">
        <v>15</v>
      </c>
      <c r="E37" s="3" t="s">
        <v>28</v>
      </c>
    </row>
    <row r="39">
      <c r="B39" s="3" t="s">
        <v>29</v>
      </c>
      <c r="D39" s="3" t="s">
        <v>30</v>
      </c>
      <c r="E39" s="3" t="s">
        <v>31</v>
      </c>
      <c r="F39" s="3" t="s">
        <v>32</v>
      </c>
      <c r="G39" s="3" t="s">
        <v>33</v>
      </c>
    </row>
    <row r="40">
      <c r="B40" s="3" t="s">
        <v>34</v>
      </c>
      <c r="C40" s="3" t="s">
        <v>30</v>
      </c>
      <c r="D40" s="3">
        <v>1.0</v>
      </c>
      <c r="E40" s="3">
        <v>5.0</v>
      </c>
      <c r="F40" s="3">
        <v>3.0</v>
      </c>
      <c r="G40" s="3">
        <v>4.0</v>
      </c>
    </row>
    <row r="41">
      <c r="C41" s="3" t="s">
        <v>31</v>
      </c>
      <c r="D41" s="5">
        <f>1/E40</f>
        <v>0.2</v>
      </c>
      <c r="E41" s="3">
        <v>1.0</v>
      </c>
      <c r="F41" s="3">
        <v>3.0</v>
      </c>
      <c r="G41" s="3">
        <v>4.0</v>
      </c>
    </row>
    <row r="42">
      <c r="C42" s="3" t="s">
        <v>32</v>
      </c>
      <c r="D42" s="5">
        <f>1/F40</f>
        <v>0.3333333333</v>
      </c>
      <c r="E42" s="5">
        <f>1/F41</f>
        <v>0.3333333333</v>
      </c>
      <c r="F42" s="3">
        <v>1.0</v>
      </c>
      <c r="G42" s="3">
        <v>2.0</v>
      </c>
    </row>
    <row r="43">
      <c r="C43" s="3" t="s">
        <v>33</v>
      </c>
      <c r="D43" s="5">
        <f>1/G40</f>
        <v>0.25</v>
      </c>
      <c r="E43" s="5">
        <f>1/G41</f>
        <v>0.25</v>
      </c>
      <c r="F43" s="5">
        <f>1/G42</f>
        <v>0.5</v>
      </c>
      <c r="G43" s="3">
        <v>1.0</v>
      </c>
    </row>
    <row r="45">
      <c r="B45" s="3" t="s">
        <v>35</v>
      </c>
      <c r="E45" s="3" t="s">
        <v>36</v>
      </c>
    </row>
    <row r="46">
      <c r="B46" s="3" t="s">
        <v>37</v>
      </c>
      <c r="C46" s="3" t="s">
        <v>38</v>
      </c>
      <c r="H46" s="3" t="s">
        <v>39</v>
      </c>
      <c r="J46" s="3" t="s">
        <v>40</v>
      </c>
      <c r="O46" s="3" t="s">
        <v>39</v>
      </c>
    </row>
    <row r="47">
      <c r="C47" s="3" t="s">
        <v>30</v>
      </c>
      <c r="D47" s="3" t="s">
        <v>41</v>
      </c>
      <c r="E47" s="3" t="s">
        <v>42</v>
      </c>
      <c r="F47" s="3" t="s">
        <v>43</v>
      </c>
      <c r="G47" s="3" t="s">
        <v>44</v>
      </c>
      <c r="J47" s="3" t="s">
        <v>32</v>
      </c>
      <c r="K47" s="3" t="s">
        <v>41</v>
      </c>
      <c r="L47" s="3" t="s">
        <v>42</v>
      </c>
      <c r="M47" s="3" t="s">
        <v>43</v>
      </c>
      <c r="N47" s="3" t="s">
        <v>44</v>
      </c>
    </row>
    <row r="48">
      <c r="C48" s="3" t="s">
        <v>41</v>
      </c>
      <c r="D48" s="3">
        <v>1.0</v>
      </c>
      <c r="E48" s="3">
        <v>2.0</v>
      </c>
      <c r="F48" s="3">
        <v>4.0</v>
      </c>
      <c r="G48" s="3">
        <v>3.0</v>
      </c>
      <c r="H48" s="3" t="s">
        <v>41</v>
      </c>
      <c r="J48" s="3" t="s">
        <v>41</v>
      </c>
      <c r="K48" s="3">
        <v>1.0</v>
      </c>
      <c r="L48" s="3">
        <v>9.0</v>
      </c>
      <c r="M48" s="3">
        <v>7.0</v>
      </c>
      <c r="N48" s="3">
        <v>7.0</v>
      </c>
      <c r="O48" s="3" t="s">
        <v>42</v>
      </c>
    </row>
    <row r="49">
      <c r="C49" s="3" t="s">
        <v>42</v>
      </c>
      <c r="D49" s="5">
        <f>1/E48</f>
        <v>0.5</v>
      </c>
      <c r="E49" s="3">
        <v>1.0</v>
      </c>
      <c r="F49" s="3">
        <v>3.0</v>
      </c>
      <c r="G49" s="3">
        <v>3.0</v>
      </c>
      <c r="H49" s="3" t="s">
        <v>42</v>
      </c>
      <c r="J49" s="3" t="s">
        <v>42</v>
      </c>
      <c r="K49" s="5">
        <f>1/L48</f>
        <v>0.1111111111</v>
      </c>
      <c r="L49" s="3">
        <v>1.0</v>
      </c>
      <c r="M49" s="3">
        <v>1.0</v>
      </c>
      <c r="N49" s="3">
        <v>1.0</v>
      </c>
      <c r="O49" s="3" t="s">
        <v>43</v>
      </c>
    </row>
    <row r="50">
      <c r="C50" s="3" t="s">
        <v>43</v>
      </c>
      <c r="D50" s="5">
        <f>1/F48</f>
        <v>0.25</v>
      </c>
      <c r="E50" s="5">
        <f>1/F49</f>
        <v>0.3333333333</v>
      </c>
      <c r="F50" s="3">
        <v>1.0</v>
      </c>
      <c r="G50" s="3">
        <v>7.0</v>
      </c>
      <c r="H50" s="3" t="s">
        <v>44</v>
      </c>
      <c r="J50" s="3" t="s">
        <v>43</v>
      </c>
      <c r="K50" s="5">
        <f>1/M48</f>
        <v>0.1428571429</v>
      </c>
      <c r="L50" s="5">
        <f>1/M49</f>
        <v>1</v>
      </c>
      <c r="M50" s="3">
        <v>1.0</v>
      </c>
      <c r="N50" s="3">
        <v>3.0</v>
      </c>
      <c r="O50" s="3" t="s">
        <v>44</v>
      </c>
    </row>
    <row r="51">
      <c r="C51" s="3" t="s">
        <v>44</v>
      </c>
      <c r="D51" s="5">
        <f>1/G48</f>
        <v>0.3333333333</v>
      </c>
      <c r="E51" s="5">
        <f>1/G49</f>
        <v>0.3333333333</v>
      </c>
      <c r="F51" s="5">
        <f>1/G50</f>
        <v>0.1428571429</v>
      </c>
      <c r="G51" s="3">
        <v>1.0</v>
      </c>
      <c r="H51" s="3" t="s">
        <v>43</v>
      </c>
      <c r="J51" s="3" t="s">
        <v>44</v>
      </c>
      <c r="K51" s="5">
        <f>1/N48</f>
        <v>0.1428571429</v>
      </c>
      <c r="L51" s="5">
        <f>1/N49</f>
        <v>1</v>
      </c>
      <c r="M51" s="5">
        <f>1/N50</f>
        <v>0.3333333333</v>
      </c>
      <c r="N51" s="3">
        <v>1.0</v>
      </c>
      <c r="O51" s="3" t="s">
        <v>41</v>
      </c>
    </row>
    <row r="53">
      <c r="C53" s="3" t="s">
        <v>46</v>
      </c>
      <c r="H53" s="3" t="s">
        <v>39</v>
      </c>
      <c r="J53" s="3" t="s">
        <v>47</v>
      </c>
      <c r="O53" s="3" t="s">
        <v>39</v>
      </c>
    </row>
    <row r="54">
      <c r="C54" s="3" t="s">
        <v>31</v>
      </c>
      <c r="D54" s="3" t="s">
        <v>41</v>
      </c>
      <c r="E54" s="3" t="s">
        <v>42</v>
      </c>
      <c r="F54" s="3" t="s">
        <v>43</v>
      </c>
      <c r="G54" s="3" t="s">
        <v>44</v>
      </c>
      <c r="J54" s="3" t="s">
        <v>33</v>
      </c>
      <c r="K54" s="3" t="s">
        <v>41</v>
      </c>
      <c r="L54" s="3" t="s">
        <v>42</v>
      </c>
      <c r="M54" s="3" t="s">
        <v>43</v>
      </c>
      <c r="N54" s="3" t="s">
        <v>44</v>
      </c>
      <c r="O54" s="3" t="s">
        <v>43</v>
      </c>
    </row>
    <row r="55">
      <c r="C55" s="3" t="s">
        <v>41</v>
      </c>
      <c r="D55" s="3">
        <v>1.0</v>
      </c>
      <c r="E55" s="3">
        <v>7.0</v>
      </c>
      <c r="F55" s="3">
        <v>7.0</v>
      </c>
      <c r="G55" s="3">
        <v>9.0</v>
      </c>
      <c r="H55" s="3" t="s">
        <v>44</v>
      </c>
      <c r="J55" s="3" t="s">
        <v>41</v>
      </c>
      <c r="K55" s="3">
        <v>1.0</v>
      </c>
      <c r="L55" s="3">
        <v>7.0</v>
      </c>
      <c r="M55" s="3">
        <v>9.0</v>
      </c>
      <c r="N55" s="3">
        <v>3.0</v>
      </c>
      <c r="O55" s="3" t="s">
        <v>42</v>
      </c>
    </row>
    <row r="56">
      <c r="C56" s="3" t="s">
        <v>42</v>
      </c>
      <c r="D56" s="5">
        <f>1/E55</f>
        <v>0.1428571429</v>
      </c>
      <c r="E56" s="3">
        <v>1.0</v>
      </c>
      <c r="F56" s="3">
        <v>3.0</v>
      </c>
      <c r="G56" s="3">
        <v>8.0</v>
      </c>
      <c r="H56" s="3" t="s">
        <v>42</v>
      </c>
      <c r="J56" s="3" t="s">
        <v>42</v>
      </c>
      <c r="K56" s="5">
        <f>1/L55</f>
        <v>0.1428571429</v>
      </c>
      <c r="L56" s="3">
        <v>1.0</v>
      </c>
      <c r="M56" s="3">
        <v>7.0</v>
      </c>
      <c r="N56" s="3">
        <v>3.0</v>
      </c>
      <c r="O56" s="3" t="s">
        <v>41</v>
      </c>
    </row>
    <row r="57">
      <c r="C57" s="3" t="s">
        <v>43</v>
      </c>
      <c r="D57" s="5">
        <f>1/F55</f>
        <v>0.1428571429</v>
      </c>
      <c r="E57" s="5">
        <f>1/F56</f>
        <v>0.3333333333</v>
      </c>
      <c r="F57" s="3">
        <v>1.0</v>
      </c>
      <c r="G57" s="3">
        <v>7.0</v>
      </c>
      <c r="H57" s="3" t="s">
        <v>43</v>
      </c>
      <c r="J57" s="3" t="s">
        <v>43</v>
      </c>
      <c r="K57" s="3">
        <v>1.0</v>
      </c>
      <c r="L57" s="5">
        <f>1/M56</f>
        <v>0.1428571429</v>
      </c>
      <c r="M57" s="3">
        <v>1.0</v>
      </c>
      <c r="N57" s="3">
        <v>1.0</v>
      </c>
      <c r="O57" s="3" t="s">
        <v>44</v>
      </c>
    </row>
    <row r="58">
      <c r="C58" s="3" t="s">
        <v>44</v>
      </c>
      <c r="D58" s="5">
        <f>1/G55</f>
        <v>0.1111111111</v>
      </c>
      <c r="E58" s="5">
        <f>1/G56</f>
        <v>0.125</v>
      </c>
      <c r="F58" s="5">
        <f>1/G57</f>
        <v>0.1428571429</v>
      </c>
      <c r="G58" s="3">
        <v>1.0</v>
      </c>
      <c r="H58" s="3" t="s">
        <v>41</v>
      </c>
      <c r="J58" s="3" t="s">
        <v>44</v>
      </c>
      <c r="K58" s="5">
        <f>1/N55</f>
        <v>0.3333333333</v>
      </c>
      <c r="L58" s="5">
        <f>1/N56</f>
        <v>0.3333333333</v>
      </c>
      <c r="M58" s="5">
        <f>1/N57</f>
        <v>1</v>
      </c>
      <c r="N58" s="3">
        <v>1.0</v>
      </c>
    </row>
    <row r="60">
      <c r="A60" s="6"/>
      <c r="B60" s="7" t="s">
        <v>56</v>
      </c>
      <c r="C60" s="6"/>
      <c r="D60" s="6"/>
      <c r="E60" s="6"/>
      <c r="F60" s="6"/>
      <c r="G60" s="6"/>
      <c r="H60" s="6"/>
      <c r="I60" s="6"/>
      <c r="J60" s="6"/>
      <c r="K60" s="8" t="s">
        <v>57</v>
      </c>
      <c r="L60" s="6"/>
      <c r="M60" s="8" t="s">
        <v>58</v>
      </c>
      <c r="N60" s="6"/>
      <c r="O60" s="6"/>
      <c r="P60" s="6"/>
      <c r="Q60" s="6"/>
      <c r="R60" s="7" t="s">
        <v>59</v>
      </c>
      <c r="S60" s="6"/>
      <c r="T60" s="6"/>
      <c r="U60" s="6"/>
      <c r="V60" s="6"/>
      <c r="W60" s="6"/>
      <c r="X60" s="6"/>
      <c r="Y60" s="6"/>
      <c r="Z60" s="6"/>
    </row>
    <row r="61" ht="33.75" customHeight="1">
      <c r="S61" s="3" t="s">
        <v>60</v>
      </c>
    </row>
    <row r="62">
      <c r="B62" s="3" t="s">
        <v>62</v>
      </c>
      <c r="F62" s="3" t="s">
        <v>30</v>
      </c>
      <c r="G62" s="3" t="s">
        <v>31</v>
      </c>
      <c r="H62" s="3" t="s">
        <v>32</v>
      </c>
      <c r="I62" s="3" t="s">
        <v>33</v>
      </c>
      <c r="K62" s="3" t="s">
        <v>63</v>
      </c>
      <c r="L62" s="3" t="s">
        <v>64</v>
      </c>
      <c r="M62" s="3" t="s">
        <v>65</v>
      </c>
      <c r="N62" s="10"/>
      <c r="P62" s="3" t="s">
        <v>66</v>
      </c>
      <c r="R62" s="3">
        <v>4.0</v>
      </c>
      <c r="S62" s="3">
        <v>0.9</v>
      </c>
    </row>
    <row r="63">
      <c r="B63" s="3" t="s">
        <v>67</v>
      </c>
      <c r="E63" s="3" t="s">
        <v>30</v>
      </c>
      <c r="F63" s="3">
        <v>1.0</v>
      </c>
      <c r="G63" s="3">
        <v>5.0</v>
      </c>
      <c r="H63" s="3">
        <v>3.0</v>
      </c>
      <c r="I63" s="3">
        <v>4.0</v>
      </c>
      <c r="K63" s="5">
        <f t="shared" ref="K63:K66" si="1">POWER(PRODUCT(F63:I63),1/4)</f>
        <v>2.783157684</v>
      </c>
      <c r="L63" s="5">
        <f>SUM(K63:K66)</f>
        <v>5.134860894</v>
      </c>
      <c r="M63" s="5">
        <f>K63/L63</f>
        <v>0.5420122845</v>
      </c>
      <c r="N63" s="10">
        <f t="shared" ref="N63:N67" si="2">M63</f>
        <v>0.5420122845</v>
      </c>
      <c r="P63" s="5">
        <f>F67*M63</f>
        <v>0.966588574</v>
      </c>
    </row>
    <row r="64">
      <c r="B64" s="3" t="s">
        <v>68</v>
      </c>
      <c r="E64" s="3" t="s">
        <v>31</v>
      </c>
      <c r="F64" s="5">
        <f>1/G63</f>
        <v>0.2</v>
      </c>
      <c r="G64" s="3">
        <v>1.0</v>
      </c>
      <c r="H64" s="3">
        <v>3.0</v>
      </c>
      <c r="I64" s="3">
        <v>4.0</v>
      </c>
      <c r="K64" s="5">
        <f t="shared" si="1"/>
        <v>1.244665955</v>
      </c>
      <c r="M64" s="5">
        <f>K64/L63</f>
        <v>0.2423952626</v>
      </c>
      <c r="N64" s="10">
        <f t="shared" si="2"/>
        <v>0.2423952626</v>
      </c>
      <c r="P64" s="5">
        <f>G67*M64</f>
        <v>1.595768812</v>
      </c>
    </row>
    <row r="65">
      <c r="B65" s="3" t="s">
        <v>70</v>
      </c>
      <c r="E65" s="3" t="s">
        <v>32</v>
      </c>
      <c r="F65" s="5">
        <f>1/H63</f>
        <v>0.3333333333</v>
      </c>
      <c r="G65" s="5">
        <f>1/H64</f>
        <v>0.3333333333</v>
      </c>
      <c r="H65" s="3">
        <v>1.0</v>
      </c>
      <c r="I65" s="3">
        <v>2.0</v>
      </c>
      <c r="K65" s="5">
        <f t="shared" si="1"/>
        <v>0.686589048</v>
      </c>
      <c r="M65" s="5">
        <f>K65/L63</f>
        <v>0.1337113239</v>
      </c>
      <c r="N65" s="10">
        <f t="shared" si="2"/>
        <v>0.1337113239</v>
      </c>
      <c r="P65" s="5">
        <f>H67*M65</f>
        <v>1.002834929</v>
      </c>
    </row>
    <row r="66">
      <c r="E66" s="3" t="s">
        <v>33</v>
      </c>
      <c r="F66" s="5">
        <f>1/I63</f>
        <v>0.25</v>
      </c>
      <c r="G66" s="5">
        <f>1/I64</f>
        <v>0.25</v>
      </c>
      <c r="H66" s="5">
        <f>1/I65</f>
        <v>0.5</v>
      </c>
      <c r="I66" s="3">
        <v>1.0</v>
      </c>
      <c r="K66" s="5">
        <f t="shared" si="1"/>
        <v>0.4204482076</v>
      </c>
      <c r="M66" s="5">
        <f>K66/L63</f>
        <v>0.08188112907</v>
      </c>
      <c r="N66" s="10">
        <f t="shared" si="2"/>
        <v>0.08188112907</v>
      </c>
      <c r="P66" s="5">
        <f>I67*M66</f>
        <v>0.9006924198</v>
      </c>
      <c r="Q66" s="3" t="s">
        <v>72</v>
      </c>
    </row>
    <row r="67">
      <c r="E67" s="3" t="s">
        <v>73</v>
      </c>
      <c r="F67" s="5">
        <f t="shared" ref="F67:I67" si="3">SUM(F63:F66)</f>
        <v>1.783333333</v>
      </c>
      <c r="G67" s="5">
        <f t="shared" si="3"/>
        <v>6.583333333</v>
      </c>
      <c r="H67" s="5">
        <f t="shared" si="3"/>
        <v>7.5</v>
      </c>
      <c r="I67" s="5">
        <f t="shared" si="3"/>
        <v>11</v>
      </c>
      <c r="L67" s="3" t="s">
        <v>74</v>
      </c>
      <c r="M67" s="5">
        <f>SUM(M63:M66)</f>
        <v>1</v>
      </c>
      <c r="N67" s="10">
        <f t="shared" si="2"/>
        <v>1</v>
      </c>
      <c r="O67" s="3" t="s">
        <v>75</v>
      </c>
      <c r="P67" s="5">
        <f>SUM(P63:P66)</f>
        <v>4.465884735</v>
      </c>
      <c r="Q67" s="5">
        <f>(P67-4)/(4-1)</f>
        <v>0.1552949116</v>
      </c>
      <c r="R67" s="3" t="s">
        <v>76</v>
      </c>
      <c r="S67" s="5">
        <f>Q67/S62</f>
        <v>0.1725499017</v>
      </c>
    </row>
    <row r="68">
      <c r="B68" s="3"/>
      <c r="F68" s="3" t="s">
        <v>77</v>
      </c>
      <c r="G68" s="3" t="s">
        <v>78</v>
      </c>
      <c r="H68" s="3" t="s">
        <v>79</v>
      </c>
      <c r="I68" s="3" t="s">
        <v>80</v>
      </c>
      <c r="N68" s="10"/>
    </row>
    <row r="69">
      <c r="B69" s="3"/>
      <c r="N69" s="10"/>
    </row>
    <row r="70">
      <c r="B70" s="3" t="s">
        <v>45</v>
      </c>
      <c r="N70" s="10"/>
    </row>
    <row r="71">
      <c r="E71" s="3" t="s">
        <v>38</v>
      </c>
      <c r="J71" s="3" t="s">
        <v>39</v>
      </c>
      <c r="K71" s="3" t="s">
        <v>81</v>
      </c>
      <c r="M71" s="3" t="s">
        <v>81</v>
      </c>
      <c r="N71" s="10"/>
    </row>
    <row r="72">
      <c r="B72" s="3" t="s">
        <v>48</v>
      </c>
      <c r="E72" s="3" t="s">
        <v>30</v>
      </c>
      <c r="F72" s="3" t="s">
        <v>41</v>
      </c>
      <c r="G72" s="3" t="s">
        <v>42</v>
      </c>
      <c r="H72" s="3" t="s">
        <v>43</v>
      </c>
      <c r="I72" s="3" t="s">
        <v>44</v>
      </c>
      <c r="L72" s="3" t="s">
        <v>64</v>
      </c>
      <c r="N72" s="10" t="str">
        <f t="shared" ref="N72:N77" si="4">M72</f>
        <v/>
      </c>
      <c r="P72" s="3" t="s">
        <v>66</v>
      </c>
    </row>
    <row r="73">
      <c r="B73" s="3" t="s">
        <v>49</v>
      </c>
      <c r="E73" s="3" t="s">
        <v>41</v>
      </c>
      <c r="F73" s="3">
        <v>1.0</v>
      </c>
      <c r="G73" s="3">
        <v>1.0</v>
      </c>
      <c r="H73" s="3">
        <v>3.0</v>
      </c>
      <c r="I73" s="3">
        <v>3.0</v>
      </c>
      <c r="J73" s="3" t="s">
        <v>41</v>
      </c>
      <c r="K73" s="5">
        <f t="shared" ref="K73:K76" si="5">POWER(PRODUCT(F73:I73),1/4)</f>
        <v>1.732050808</v>
      </c>
      <c r="L73" s="5">
        <f>K73+K74+K75+K76</f>
        <v>4.758154136</v>
      </c>
      <c r="M73" s="5">
        <f>K73/L73</f>
        <v>0.3640173811</v>
      </c>
      <c r="N73" s="10">
        <f t="shared" si="4"/>
        <v>0.3640173811</v>
      </c>
      <c r="P73" s="5">
        <f>F77*M73</f>
        <v>0.9707130162</v>
      </c>
    </row>
    <row r="74">
      <c r="E74" s="3" t="s">
        <v>42</v>
      </c>
      <c r="F74" s="5">
        <f>1/G73</f>
        <v>1</v>
      </c>
      <c r="G74" s="3">
        <v>1.0</v>
      </c>
      <c r="H74" s="3">
        <v>3.0</v>
      </c>
      <c r="I74" s="3">
        <v>3.0</v>
      </c>
      <c r="J74" s="3" t="s">
        <v>42</v>
      </c>
      <c r="K74" s="5">
        <f t="shared" si="5"/>
        <v>1.732050808</v>
      </c>
      <c r="M74" s="5">
        <f>K74/L73</f>
        <v>0.3640173811</v>
      </c>
      <c r="N74" s="10">
        <f t="shared" si="4"/>
        <v>0.3640173811</v>
      </c>
      <c r="P74" s="5">
        <f>G77*M74</f>
        <v>0.9707130162</v>
      </c>
    </row>
    <row r="75">
      <c r="B75" s="3" t="s">
        <v>51</v>
      </c>
      <c r="E75" s="3" t="s">
        <v>43</v>
      </c>
      <c r="F75" s="5">
        <f>1/H73</f>
        <v>0.3333333333</v>
      </c>
      <c r="G75" s="5">
        <f>1/H74</f>
        <v>0.3333333333</v>
      </c>
      <c r="H75" s="3">
        <v>1.0</v>
      </c>
      <c r="I75" s="3">
        <v>7.0</v>
      </c>
      <c r="J75" s="3" t="s">
        <v>44</v>
      </c>
      <c r="K75" s="5">
        <f t="shared" si="5"/>
        <v>0.9391044158</v>
      </c>
      <c r="M75" s="5">
        <f>K75/L73</f>
        <v>0.19736738</v>
      </c>
      <c r="N75" s="10">
        <f t="shared" si="4"/>
        <v>0.19736738</v>
      </c>
      <c r="P75" s="5">
        <f>H77*M75</f>
        <v>1.409767</v>
      </c>
    </row>
    <row r="76">
      <c r="B76" s="3" t="s">
        <v>53</v>
      </c>
      <c r="E76" s="3" t="s">
        <v>44</v>
      </c>
      <c r="F76" s="5">
        <f>1/I73</f>
        <v>0.3333333333</v>
      </c>
      <c r="G76" s="5">
        <f>1/I74</f>
        <v>0.3333333333</v>
      </c>
      <c r="H76" s="5">
        <f>1/I75</f>
        <v>0.1428571429</v>
      </c>
      <c r="I76" s="3">
        <v>1.0</v>
      </c>
      <c r="J76" s="3" t="s">
        <v>43</v>
      </c>
      <c r="K76" s="5">
        <f t="shared" si="5"/>
        <v>0.3549481056</v>
      </c>
      <c r="M76" s="5">
        <f>K76/L73</f>
        <v>0.07459785779</v>
      </c>
      <c r="N76" s="10">
        <f t="shared" si="4"/>
        <v>0.07459785779</v>
      </c>
      <c r="P76" s="3">
        <f>I77*M76</f>
        <v>1.044370009</v>
      </c>
    </row>
    <row r="77">
      <c r="B77" s="3" t="s">
        <v>54</v>
      </c>
      <c r="E77" s="3" t="s">
        <v>73</v>
      </c>
      <c r="F77" s="5">
        <f t="shared" ref="F77:I77" si="6">SUM(F73:F76)</f>
        <v>2.666666667</v>
      </c>
      <c r="G77" s="5">
        <f t="shared" si="6"/>
        <v>2.666666667</v>
      </c>
      <c r="H77" s="5">
        <f t="shared" si="6"/>
        <v>7.142857143</v>
      </c>
      <c r="I77" s="5">
        <f t="shared" si="6"/>
        <v>14</v>
      </c>
      <c r="M77" s="5">
        <f>SUM(M71:M76)</f>
        <v>1</v>
      </c>
      <c r="N77" s="10">
        <f t="shared" si="4"/>
        <v>1</v>
      </c>
      <c r="O77" s="3" t="s">
        <v>75</v>
      </c>
      <c r="P77" s="5">
        <f>SUM(P73:P76)</f>
        <v>4.395563042</v>
      </c>
      <c r="Q77" s="5">
        <f>(P77-4)/(4-1)</f>
        <v>0.1318543473</v>
      </c>
      <c r="S77" s="5">
        <f>Q77/S62</f>
        <v>0.1465048303</v>
      </c>
    </row>
    <row r="78">
      <c r="B78" s="3"/>
      <c r="E78" s="3"/>
      <c r="F78" s="3" t="s">
        <v>77</v>
      </c>
      <c r="G78" s="3" t="s">
        <v>78</v>
      </c>
      <c r="H78" s="3" t="s">
        <v>79</v>
      </c>
      <c r="I78" s="3" t="s">
        <v>80</v>
      </c>
      <c r="J78" s="3"/>
      <c r="N78" s="10"/>
    </row>
    <row r="79">
      <c r="B79" s="3"/>
      <c r="E79" s="3"/>
      <c r="J79" s="3"/>
      <c r="N79" s="10"/>
    </row>
    <row r="80">
      <c r="B80" s="3" t="s">
        <v>55</v>
      </c>
      <c r="E80" s="3" t="s">
        <v>46</v>
      </c>
      <c r="J80" s="3" t="s">
        <v>39</v>
      </c>
      <c r="N80" s="10" t="str">
        <f t="shared" ref="N80:N86" si="7">M80</f>
        <v/>
      </c>
    </row>
    <row r="81">
      <c r="E81" s="3" t="s">
        <v>31</v>
      </c>
      <c r="F81" s="3" t="s">
        <v>41</v>
      </c>
      <c r="G81" s="3" t="s">
        <v>42</v>
      </c>
      <c r="H81" s="3" t="s">
        <v>43</v>
      </c>
      <c r="I81" s="3" t="s">
        <v>44</v>
      </c>
      <c r="N81" s="10" t="str">
        <f t="shared" si="7"/>
        <v/>
      </c>
    </row>
    <row r="82">
      <c r="E82" s="3" t="s">
        <v>41</v>
      </c>
      <c r="F82" s="3">
        <v>1.0</v>
      </c>
      <c r="G82" s="3">
        <v>7.0</v>
      </c>
      <c r="H82" s="3">
        <v>7.0</v>
      </c>
      <c r="I82" s="3">
        <v>9.0</v>
      </c>
      <c r="J82" s="3" t="s">
        <v>44</v>
      </c>
      <c r="K82" s="5">
        <f t="shared" ref="K82:K85" si="8">POWER(PRODUCT(F82:I82),1/4)</f>
        <v>4.582575695</v>
      </c>
      <c r="L82" s="5">
        <f>K82+K83+K84+K85</f>
        <v>6.914214654</v>
      </c>
      <c r="M82" s="5">
        <f>K82/L82</f>
        <v>0.6627760237</v>
      </c>
      <c r="N82" s="10">
        <f t="shared" si="7"/>
        <v>0.6627760237</v>
      </c>
      <c r="P82" s="5">
        <f>F86*M82</f>
        <v>0.9257823823</v>
      </c>
    </row>
    <row r="83">
      <c r="E83" s="3" t="s">
        <v>42</v>
      </c>
      <c r="F83" s="5">
        <f>1/G82</f>
        <v>0.1428571429</v>
      </c>
      <c r="G83" s="3">
        <v>1.0</v>
      </c>
      <c r="H83" s="3">
        <v>3.0</v>
      </c>
      <c r="I83" s="3">
        <v>8.0</v>
      </c>
      <c r="J83" s="3" t="s">
        <v>42</v>
      </c>
      <c r="K83" s="5">
        <f t="shared" si="8"/>
        <v>1.360749867</v>
      </c>
      <c r="M83" s="5">
        <f>K83/L82</f>
        <v>0.1968046893</v>
      </c>
      <c r="N83" s="10">
        <f t="shared" si="7"/>
        <v>0.1968046893</v>
      </c>
      <c r="P83" s="5">
        <f>G86*M83</f>
        <v>1.664639664</v>
      </c>
    </row>
    <row r="84">
      <c r="E84" s="3" t="s">
        <v>43</v>
      </c>
      <c r="F84" s="5">
        <f>1/H82</f>
        <v>0.1428571429</v>
      </c>
      <c r="G84" s="5">
        <f>1/H83</f>
        <v>0.3333333333</v>
      </c>
      <c r="H84" s="3">
        <v>1.0</v>
      </c>
      <c r="I84" s="3">
        <v>7.0</v>
      </c>
      <c r="J84" s="3" t="s">
        <v>43</v>
      </c>
      <c r="K84" s="5">
        <f t="shared" si="8"/>
        <v>0.7598356857</v>
      </c>
      <c r="M84" s="5">
        <f>K84/L82</f>
        <v>0.1098947203</v>
      </c>
      <c r="N84" s="10">
        <f t="shared" si="7"/>
        <v>0.1098947203</v>
      </c>
      <c r="P84" s="5">
        <f>H86*M84</f>
        <v>1.224541169</v>
      </c>
    </row>
    <row r="85">
      <c r="E85" s="3" t="s">
        <v>44</v>
      </c>
      <c r="F85" s="5">
        <f>1/I82</f>
        <v>0.1111111111</v>
      </c>
      <c r="G85" s="5">
        <f>1/I83</f>
        <v>0.125</v>
      </c>
      <c r="H85" s="5">
        <f>1/I84</f>
        <v>0.1428571429</v>
      </c>
      <c r="I85" s="3">
        <v>1.0</v>
      </c>
      <c r="J85" s="3" t="s">
        <v>41</v>
      </c>
      <c r="K85" s="5">
        <f t="shared" si="8"/>
        <v>0.2110534063</v>
      </c>
      <c r="M85" s="5">
        <f>K85/L82</f>
        <v>0.03052456669</v>
      </c>
      <c r="N85" s="10">
        <f t="shared" si="7"/>
        <v>0.03052456669</v>
      </c>
      <c r="P85" s="5">
        <f>I86*M85</f>
        <v>0.7631141673</v>
      </c>
    </row>
    <row r="86">
      <c r="E86" s="3" t="s">
        <v>73</v>
      </c>
      <c r="F86" s="5">
        <f t="shared" ref="F86:I86" si="9">SUM(F82:F85)</f>
        <v>1.396825397</v>
      </c>
      <c r="G86" s="5">
        <f t="shared" si="9"/>
        <v>8.458333333</v>
      </c>
      <c r="H86" s="5">
        <f t="shared" si="9"/>
        <v>11.14285714</v>
      </c>
      <c r="I86" s="5">
        <f t="shared" si="9"/>
        <v>25</v>
      </c>
      <c r="M86" s="5">
        <f>SUM(M82:M85)</f>
        <v>1</v>
      </c>
      <c r="N86" s="10">
        <f t="shared" si="7"/>
        <v>1</v>
      </c>
      <c r="O86" s="3" t="s">
        <v>75</v>
      </c>
      <c r="P86" s="5">
        <f>SUM(P82:P85)</f>
        <v>4.578077383</v>
      </c>
      <c r="Q86" s="5">
        <f>(P86-4)/(4-1)</f>
        <v>0.1926924609</v>
      </c>
      <c r="S86" s="5">
        <f>Q86/S62</f>
        <v>0.2141027343</v>
      </c>
    </row>
    <row r="87">
      <c r="E87" s="3"/>
      <c r="F87" s="3" t="s">
        <v>77</v>
      </c>
      <c r="G87" s="3" t="s">
        <v>78</v>
      </c>
      <c r="H87" s="3" t="s">
        <v>79</v>
      </c>
      <c r="I87" s="3" t="s">
        <v>80</v>
      </c>
      <c r="J87" s="3"/>
      <c r="N87" s="10"/>
    </row>
    <row r="88">
      <c r="E88" s="3"/>
      <c r="J88" s="3"/>
      <c r="N88" s="10"/>
    </row>
    <row r="89">
      <c r="E89" s="3" t="s">
        <v>40</v>
      </c>
      <c r="J89" s="3" t="s">
        <v>39</v>
      </c>
      <c r="N89" s="10" t="str">
        <f t="shared" ref="N89:N95" si="10">M89</f>
        <v/>
      </c>
    </row>
    <row r="90">
      <c r="E90" s="3" t="s">
        <v>32</v>
      </c>
      <c r="F90" s="3" t="s">
        <v>41</v>
      </c>
      <c r="G90" s="3" t="s">
        <v>42</v>
      </c>
      <c r="H90" s="3" t="s">
        <v>43</v>
      </c>
      <c r="I90" s="3" t="s">
        <v>44</v>
      </c>
      <c r="N90" s="10" t="str">
        <f t="shared" si="10"/>
        <v/>
      </c>
    </row>
    <row r="91">
      <c r="E91" s="3" t="s">
        <v>41</v>
      </c>
      <c r="F91" s="3">
        <v>1.0</v>
      </c>
      <c r="G91" s="3">
        <v>9.0</v>
      </c>
      <c r="H91" s="3">
        <v>7.0</v>
      </c>
      <c r="I91" s="3">
        <v>7.0</v>
      </c>
      <c r="J91" s="3" t="s">
        <v>42</v>
      </c>
      <c r="K91" s="5">
        <f t="shared" ref="K91:K94" si="11">POWER(PRODUCT(F91:I91),1/4)</f>
        <v>4.582575695</v>
      </c>
      <c r="L91" s="5">
        <f>K91+K92+K93+K94</f>
        <v>6.436170653</v>
      </c>
      <c r="M91" s="5">
        <f>K91/L91</f>
        <v>0.7120034477</v>
      </c>
      <c r="N91" s="10">
        <f t="shared" si="10"/>
        <v>0.7120034477</v>
      </c>
      <c r="P91" s="5">
        <f>F95*M91</f>
        <v>0.9945444983</v>
      </c>
    </row>
    <row r="92">
      <c r="E92" s="3" t="s">
        <v>42</v>
      </c>
      <c r="F92" s="5">
        <f>1/G91</f>
        <v>0.1111111111</v>
      </c>
      <c r="G92" s="3">
        <v>1.0</v>
      </c>
      <c r="H92" s="3">
        <v>1.0</v>
      </c>
      <c r="I92" s="3">
        <v>1.0</v>
      </c>
      <c r="J92" s="3" t="s">
        <v>43</v>
      </c>
      <c r="K92" s="5">
        <f t="shared" si="11"/>
        <v>0.5773502692</v>
      </c>
      <c r="M92" s="5">
        <f>K92/L91</f>
        <v>0.08970400262</v>
      </c>
      <c r="N92" s="10">
        <f t="shared" si="10"/>
        <v>0.08970400262</v>
      </c>
      <c r="P92" s="5">
        <f>G95*M92</f>
        <v>1.076448031</v>
      </c>
    </row>
    <row r="93">
      <c r="E93" s="3" t="s">
        <v>43</v>
      </c>
      <c r="F93" s="5">
        <f>1/H91</f>
        <v>0.1428571429</v>
      </c>
      <c r="G93" s="5">
        <f>1/H92</f>
        <v>1</v>
      </c>
      <c r="H93" s="3">
        <v>1.0</v>
      </c>
      <c r="I93" s="3">
        <v>3.0</v>
      </c>
      <c r="J93" s="3" t="s">
        <v>44</v>
      </c>
      <c r="K93" s="5">
        <f t="shared" si="11"/>
        <v>0.8091067116</v>
      </c>
      <c r="M93" s="5">
        <f>K93/L91</f>
        <v>0.1257124391</v>
      </c>
      <c r="N93" s="10">
        <f t="shared" si="10"/>
        <v>0.1257124391</v>
      </c>
      <c r="P93" s="5">
        <f>H95*M93</f>
        <v>1.173316099</v>
      </c>
    </row>
    <row r="94">
      <c r="E94" s="3" t="s">
        <v>44</v>
      </c>
      <c r="F94" s="5">
        <f>1/I91</f>
        <v>0.1428571429</v>
      </c>
      <c r="G94" s="5">
        <f>1/I92</f>
        <v>1</v>
      </c>
      <c r="H94" s="5">
        <f>1/I93</f>
        <v>0.3333333333</v>
      </c>
      <c r="I94" s="3">
        <v>1.0</v>
      </c>
      <c r="J94" s="3" t="s">
        <v>41</v>
      </c>
      <c r="K94" s="5">
        <f t="shared" si="11"/>
        <v>0.4671379777</v>
      </c>
      <c r="M94" s="5">
        <f>K94/L91</f>
        <v>0.07258011058</v>
      </c>
      <c r="N94" s="10">
        <f t="shared" si="10"/>
        <v>0.07258011058</v>
      </c>
      <c r="P94" s="5">
        <f>I95*M94</f>
        <v>0.8709613269</v>
      </c>
    </row>
    <row r="95">
      <c r="E95" s="3" t="s">
        <v>73</v>
      </c>
      <c r="F95" s="5">
        <f t="shared" ref="F95:I95" si="12">SUM(F91:F94)</f>
        <v>1.396825397</v>
      </c>
      <c r="G95" s="5">
        <f t="shared" si="12"/>
        <v>12</v>
      </c>
      <c r="H95" s="5">
        <f t="shared" si="12"/>
        <v>9.333333333</v>
      </c>
      <c r="I95" s="5">
        <f t="shared" si="12"/>
        <v>12</v>
      </c>
      <c r="M95" s="5">
        <f>SUM(M91:M94)</f>
        <v>1</v>
      </c>
      <c r="N95" s="10">
        <f t="shared" si="10"/>
        <v>1</v>
      </c>
      <c r="O95" s="3" t="s">
        <v>75</v>
      </c>
      <c r="P95" s="5">
        <f>SUM(P91:P94)</f>
        <v>4.115269955</v>
      </c>
      <c r="Q95" s="5">
        <f>(P95-4)/(4-1)</f>
        <v>0.03842331847</v>
      </c>
      <c r="S95" s="5">
        <f>Q95/S62</f>
        <v>0.04269257607</v>
      </c>
    </row>
    <row r="96">
      <c r="E96" s="3"/>
      <c r="F96" s="3" t="s">
        <v>77</v>
      </c>
      <c r="G96" s="3" t="s">
        <v>78</v>
      </c>
      <c r="H96" s="3" t="s">
        <v>79</v>
      </c>
      <c r="I96" s="3" t="s">
        <v>80</v>
      </c>
      <c r="J96" s="3"/>
      <c r="N96" s="10"/>
    </row>
    <row r="97">
      <c r="E97" s="3"/>
      <c r="J97" s="3"/>
      <c r="N97" s="10"/>
    </row>
    <row r="98">
      <c r="E98" s="3" t="s">
        <v>47</v>
      </c>
      <c r="J98" s="3" t="s">
        <v>39</v>
      </c>
      <c r="N98" s="10" t="str">
        <f t="shared" ref="N98:N104" si="13">M98</f>
        <v/>
      </c>
    </row>
    <row r="99">
      <c r="E99" s="3" t="s">
        <v>33</v>
      </c>
      <c r="F99" s="3" t="s">
        <v>41</v>
      </c>
      <c r="G99" s="3" t="s">
        <v>42</v>
      </c>
      <c r="H99" s="3" t="s">
        <v>43</v>
      </c>
      <c r="I99" s="3" t="s">
        <v>44</v>
      </c>
      <c r="J99" s="3" t="s">
        <v>43</v>
      </c>
      <c r="N99" s="10" t="str">
        <f t="shared" si="13"/>
        <v/>
      </c>
    </row>
    <row r="100">
      <c r="E100" s="3" t="s">
        <v>41</v>
      </c>
      <c r="F100" s="3">
        <v>1.0</v>
      </c>
      <c r="G100" s="3">
        <v>7.0</v>
      </c>
      <c r="H100" s="3">
        <v>9.0</v>
      </c>
      <c r="I100" s="3">
        <v>3.0</v>
      </c>
      <c r="J100" s="3" t="s">
        <v>42</v>
      </c>
      <c r="K100" s="5">
        <f t="shared" ref="K100:K103" si="14">POWER(PRODUCT(F100:I100),1/4)</f>
        <v>3.707792751</v>
      </c>
      <c r="L100" s="5">
        <f>K100+K101+K102+K103</f>
        <v>6.216005186</v>
      </c>
      <c r="M100" s="5">
        <f>K100/L100</f>
        <v>0.5964912577</v>
      </c>
      <c r="N100" s="10">
        <f t="shared" si="13"/>
        <v>0.5964912577</v>
      </c>
      <c r="P100" s="5">
        <f>F104*M100</f>
        <v>1.477025971</v>
      </c>
    </row>
    <row r="101">
      <c r="E101" s="3" t="s">
        <v>42</v>
      </c>
      <c r="F101" s="5">
        <f>1/G100</f>
        <v>0.1428571429</v>
      </c>
      <c r="G101" s="3">
        <v>1.0</v>
      </c>
      <c r="H101" s="3">
        <v>7.0</v>
      </c>
      <c r="I101" s="3">
        <v>3.0</v>
      </c>
      <c r="J101" s="3" t="s">
        <v>41</v>
      </c>
      <c r="K101" s="5">
        <f t="shared" si="14"/>
        <v>1.316074013</v>
      </c>
      <c r="M101" s="5">
        <f>K101/L100</f>
        <v>0.2117234419</v>
      </c>
      <c r="N101" s="10">
        <f t="shared" si="13"/>
        <v>0.2117234419</v>
      </c>
      <c r="P101" s="5">
        <f>G104*M101</f>
        <v>1.794608222</v>
      </c>
    </row>
    <row r="102">
      <c r="E102" s="3" t="s">
        <v>43</v>
      </c>
      <c r="F102" s="3">
        <v>1.0</v>
      </c>
      <c r="G102" s="5">
        <f>1/H101</f>
        <v>0.1428571429</v>
      </c>
      <c r="H102" s="3">
        <v>1.0</v>
      </c>
      <c r="I102" s="3">
        <v>1.0</v>
      </c>
      <c r="J102" s="3" t="s">
        <v>44</v>
      </c>
      <c r="K102" s="5">
        <f t="shared" si="14"/>
        <v>0.614788153</v>
      </c>
      <c r="M102" s="5">
        <f>K102/L100</f>
        <v>0.09890406049</v>
      </c>
      <c r="N102" s="10">
        <f t="shared" si="13"/>
        <v>0.09890406049</v>
      </c>
      <c r="P102" s="5">
        <f>H104*M102</f>
        <v>1.780273089</v>
      </c>
    </row>
    <row r="103">
      <c r="E103" s="3" t="s">
        <v>44</v>
      </c>
      <c r="F103" s="5">
        <f>1/I100</f>
        <v>0.3333333333</v>
      </c>
      <c r="G103" s="5">
        <f>1/I101</f>
        <v>0.3333333333</v>
      </c>
      <c r="H103" s="5">
        <f>1/I102</f>
        <v>1</v>
      </c>
      <c r="I103" s="3">
        <v>1.0</v>
      </c>
      <c r="K103" s="5">
        <f t="shared" si="14"/>
        <v>0.5773502692</v>
      </c>
      <c r="M103" s="5">
        <f>K103/L100</f>
        <v>0.09288123994</v>
      </c>
      <c r="N103" s="10">
        <f t="shared" si="13"/>
        <v>0.09288123994</v>
      </c>
      <c r="P103" s="5">
        <f>I104*M103</f>
        <v>0.7430499196</v>
      </c>
    </row>
    <row r="104">
      <c r="E104" s="3" t="s">
        <v>73</v>
      </c>
      <c r="F104" s="5">
        <f t="shared" ref="F104:I104" si="15">SUM(F100:F103)</f>
        <v>2.476190476</v>
      </c>
      <c r="G104" s="5">
        <f t="shared" si="15"/>
        <v>8.476190476</v>
      </c>
      <c r="H104" s="5">
        <f t="shared" si="15"/>
        <v>18</v>
      </c>
      <c r="I104" s="5">
        <f t="shared" si="15"/>
        <v>8</v>
      </c>
      <c r="M104" s="5">
        <f>SUM(M100:M103)</f>
        <v>1</v>
      </c>
      <c r="N104" s="10">
        <f t="shared" si="13"/>
        <v>1</v>
      </c>
      <c r="O104" s="3" t="s">
        <v>75</v>
      </c>
      <c r="P104" s="5">
        <f>SUM(P100:P103)</f>
        <v>5.794957202</v>
      </c>
      <c r="Q104" s="5">
        <f>(P104-4)/(4-1)</f>
        <v>0.5983190672</v>
      </c>
      <c r="S104" s="5">
        <f>Q104/S62</f>
        <v>0.6647989636</v>
      </c>
    </row>
    <row r="105">
      <c r="F105" s="3" t="s">
        <v>77</v>
      </c>
      <c r="G105" s="3" t="s">
        <v>78</v>
      </c>
      <c r="H105" s="3" t="s">
        <v>79</v>
      </c>
      <c r="I105" s="3" t="s">
        <v>80</v>
      </c>
    </row>
    <row r="123">
      <c r="B123" s="3" t="s">
        <v>50</v>
      </c>
    </row>
    <row r="124">
      <c r="B124" s="3" t="s">
        <v>52</v>
      </c>
    </row>
    <row r="125">
      <c r="B125" s="3" t="s">
        <v>83</v>
      </c>
    </row>
  </sheetData>
  <mergeCells count="3">
    <mergeCell ref="K60:K61"/>
    <mergeCell ref="M60:M61"/>
    <mergeCell ref="R60:R61"/>
  </mergeCells>
  <drawing r:id="rId1"/>
</worksheet>
</file>