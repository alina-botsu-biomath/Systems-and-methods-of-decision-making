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<sst xmlns="http://schemas.openxmlformats.org/spreadsheetml/2006/main" count="43" uniqueCount="32">
  <si>
    <t xml:space="preserve">Боцу Аліна </t>
  </si>
  <si>
    <t>i=1</t>
  </si>
  <si>
    <t>j=4</t>
  </si>
  <si>
    <t>Продаються программи</t>
  </si>
  <si>
    <t>60 центів за шт</t>
  </si>
  <si>
    <t>1 замовлення</t>
  </si>
  <si>
    <t>200$</t>
  </si>
  <si>
    <t>+30 центів за шт</t>
  </si>
  <si>
    <t xml:space="preserve">Добуток від реклами </t>
  </si>
  <si>
    <t>300$</t>
  </si>
  <si>
    <t>Відвідуваність</t>
  </si>
  <si>
    <t>ЇЇ ймовірність</t>
  </si>
  <si>
    <t>Очікується, що куплять программи 40%</t>
  </si>
  <si>
    <t>Використовуючи кожне з правил, визначте, скільки програмок має замовити адміністрація театру.</t>
  </si>
  <si>
    <t>Граничний оптимізм</t>
  </si>
  <si>
    <t>Кр. Лапласа</t>
  </si>
  <si>
    <t xml:space="preserve">Кр. Вальда </t>
  </si>
  <si>
    <t>Кр. Гурвіца</t>
  </si>
  <si>
    <t>Кр. Севіджа</t>
  </si>
  <si>
    <t>Кр. Байєса-Лапласа</t>
  </si>
  <si>
    <t>Кр. Ходжа-Лемена</t>
  </si>
  <si>
    <t>C=</t>
  </si>
  <si>
    <t>v=</t>
  </si>
  <si>
    <t>Оцінки рішень</t>
  </si>
  <si>
    <t>Попит</t>
  </si>
  <si>
    <t>Найліпший результат</t>
  </si>
  <si>
    <t>Очікування</t>
  </si>
  <si>
    <t>Вартість замовлення</t>
  </si>
  <si>
    <t>Можна зробити висновок, що адміністрація театру має замовити 2560 програмок</t>
  </si>
  <si>
    <t>Матриця остач</t>
  </si>
  <si>
    <t>Max остач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</si>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</sst>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2" fontId="1" numFmtId="0" xfId="0" applyFill="1" applyFont="1"/>
    <xf borderId="4" fillId="0" fontId="1" numFmtId="0" xfId="0" applyBorder="1" applyFont="1"/>
    <xf borderId="5" fillId="0" fontId="1" numFmtId="0" xfId="0" applyBorder="1" applyFont="1"/>
    <xf borderId="0" fillId="2" fontId="1" numFmtId="0" xfId="0" applyAlignment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6" max="6" width="20.25"/>
    <col customWidth="1" min="9" max="9" width="21.75"/>
    <col customWidth="1" min="14" max="14" width="19.25"/>
    <col customWidth="1" min="15" max="15" width="24.5"/>
    <col customWidth="1" min="17" max="17" width="26.75"/>
  </cols>
  <sheetData>
    <row r="2">
      <c r="B2" s="1" t="s">
        <v>0</v>
      </c>
    </row>
    <row r="3">
      <c r="B3" s="2">
        <v>38344.0</v>
      </c>
      <c r="C3" s="3" t="s">
        <v>1</v>
      </c>
      <c r="D3" s="3" t="s">
        <v>2</v>
      </c>
      <c r="F3" s="1" t="s">
        <v>3</v>
      </c>
    </row>
    <row r="4">
      <c r="F4" s="1" t="s">
        <v>4</v>
      </c>
    </row>
    <row r="6">
      <c r="B6" s="1" t="s">
        <v>5</v>
      </c>
      <c r="C6" s="1" t="s">
        <v>6</v>
      </c>
      <c r="D6" s="4" t="s">
        <v>7</v>
      </c>
      <c r="F6" s="1" t="s">
        <v>8</v>
      </c>
    </row>
    <row r="7">
      <c r="F7" s="1" t="s">
        <v>9</v>
      </c>
    </row>
    <row r="9">
      <c r="B9" s="1" t="s">
        <v>10</v>
      </c>
      <c r="C9" s="1">
        <v>5400.0</v>
      </c>
      <c r="D9" s="1">
        <v>5900.0</v>
      </c>
      <c r="E9" s="1">
        <v>6400.0</v>
      </c>
      <c r="F9" s="1">
        <v>6900.0</v>
      </c>
      <c r="G9" s="1">
        <v>7400.0</v>
      </c>
    </row>
    <row r="10">
      <c r="B10" s="1" t="s">
        <v>11</v>
      </c>
      <c r="C10" s="1">
        <v>0.1</v>
      </c>
      <c r="D10" s="1">
        <v>0.3</v>
      </c>
      <c r="E10" s="1">
        <v>0.3</v>
      </c>
      <c r="F10" s="1">
        <v>0.2</v>
      </c>
      <c r="G10" s="1">
        <v>0.1</v>
      </c>
    </row>
    <row r="12">
      <c r="B12" s="1" t="s">
        <v>12</v>
      </c>
    </row>
    <row r="14">
      <c r="B14" s="1" t="s">
        <v>13</v>
      </c>
    </row>
    <row r="16">
      <c r="B16" s="1" t="s">
        <v>14</v>
      </c>
      <c r="C16" s="1" t="s">
        <v>15</v>
      </c>
      <c r="D16" s="1" t="s">
        <v>16</v>
      </c>
      <c r="E16" s="1" t="s">
        <v>17</v>
      </c>
      <c r="F16" s="1" t="s">
        <v>18</v>
      </c>
      <c r="G16" s="1" t="s">
        <v>19</v>
      </c>
      <c r="H16" s="1" t="s">
        <v>20</v>
      </c>
    </row>
    <row r="17">
      <c r="K17" s="1" t="s">
        <v>21</v>
      </c>
      <c r="L17" s="1">
        <v>0.4</v>
      </c>
      <c r="N17" s="1" t="s">
        <v>22</v>
      </c>
      <c r="O17" s="1">
        <v>0.6</v>
      </c>
    </row>
    <row r="19">
      <c r="I19" s="1" t="s">
        <v>13</v>
      </c>
    </row>
    <row r="20">
      <c r="I20" s="1" t="s">
        <v>23</v>
      </c>
    </row>
    <row r="21">
      <c r="B21" s="1" t="s">
        <v>24</v>
      </c>
      <c r="C21" s="1">
        <v>5400.0</v>
      </c>
      <c r="D21" s="1">
        <v>5900.0</v>
      </c>
      <c r="E21" s="1">
        <v>6400.0</v>
      </c>
      <c r="F21" s="1">
        <v>6900.0</v>
      </c>
      <c r="G21" s="1">
        <v>7400.0</v>
      </c>
      <c r="I21" s="1" t="s">
        <v>14</v>
      </c>
      <c r="J21" s="1" t="s">
        <v>15</v>
      </c>
      <c r="K21" s="1" t="s">
        <v>16</v>
      </c>
      <c r="L21" s="1" t="s">
        <v>17</v>
      </c>
      <c r="M21" s="1" t="s">
        <v>18</v>
      </c>
      <c r="N21" s="1" t="s">
        <v>19</v>
      </c>
      <c r="O21" s="1" t="s">
        <v>20</v>
      </c>
      <c r="Q21" s="1" t="s">
        <v>25</v>
      </c>
    </row>
    <row r="22">
      <c r="B22" s="1" t="s">
        <v>26</v>
      </c>
      <c r="C22" s="5">
        <f t="shared" ref="C22:G22" si="1">C21*0.4</f>
        <v>2160</v>
      </c>
      <c r="D22" s="5">
        <f t="shared" si="1"/>
        <v>2360</v>
      </c>
      <c r="E22" s="5">
        <f t="shared" si="1"/>
        <v>2560</v>
      </c>
      <c r="F22" s="5">
        <f t="shared" si="1"/>
        <v>2760</v>
      </c>
      <c r="G22" s="5">
        <f t="shared" si="1"/>
        <v>2960</v>
      </c>
    </row>
    <row r="23">
      <c r="B23" s="5">
        <f>C9*0.4</f>
        <v>2160</v>
      </c>
      <c r="C23" s="6">
        <f>-(200+0.3*$B23)+300+0.6*C$22</f>
        <v>748</v>
      </c>
      <c r="D23" s="7">
        <f t="shared" ref="D23:G23" si="2">-(200+0.3*$B23)+300+0.6*$C$22</f>
        <v>748</v>
      </c>
      <c r="E23" s="7">
        <f t="shared" si="2"/>
        <v>748</v>
      </c>
      <c r="F23" s="7">
        <f t="shared" si="2"/>
        <v>748</v>
      </c>
      <c r="G23" s="8">
        <f t="shared" si="2"/>
        <v>748</v>
      </c>
      <c r="I23" s="5">
        <f t="shared" ref="I23:I27" si="4">MAX(C23:G23)</f>
        <v>748</v>
      </c>
      <c r="J23" s="5">
        <f t="shared" ref="J23:J27" si="5">AVERAGE(C23:G23)</f>
        <v>748</v>
      </c>
      <c r="K23" s="9">
        <f t="shared" ref="K23:K27" si="6">MIN(C23:G23)</f>
        <v>748</v>
      </c>
      <c r="L23" s="5">
        <f t="shared" ref="L23:L27" si="7">$L$17*MIN(C23:G23)+(1-$L$17)*MAX(C23:G23)</f>
        <v>748</v>
      </c>
      <c r="M23" s="5">
        <v>240.0</v>
      </c>
      <c r="N23" s="5">
        <f t="shared" ref="N23:N27" si="8">C23*$C$10+D23*$D$10+E23*$E$10+F23*$F$10+G23*$G$10</f>
        <v>748</v>
      </c>
      <c r="O23" s="9">
        <f t="shared" ref="O23:O27" si="9">$O$17*N23+(1-$O$17)*MIN(C23:G23)</f>
        <v>748</v>
      </c>
      <c r="Q23" s="1">
        <v>2.0</v>
      </c>
    </row>
    <row r="24">
      <c r="B24" s="5">
        <f>D9*0.4</f>
        <v>2360</v>
      </c>
      <c r="C24" s="10">
        <f>-(200+0.3*$B$24)+300+0.6*C$22</f>
        <v>688</v>
      </c>
      <c r="D24" s="5">
        <f t="shared" ref="D24:G24" si="3">-(200+0.3*$B$24)+300+0.6*$D$22</f>
        <v>808</v>
      </c>
      <c r="E24" s="5">
        <f t="shared" si="3"/>
        <v>808</v>
      </c>
      <c r="F24" s="5">
        <f t="shared" si="3"/>
        <v>808</v>
      </c>
      <c r="G24" s="11">
        <f t="shared" si="3"/>
        <v>808</v>
      </c>
      <c r="I24" s="5">
        <f t="shared" si="4"/>
        <v>808</v>
      </c>
      <c r="J24" s="5">
        <f t="shared" si="5"/>
        <v>784</v>
      </c>
      <c r="K24" s="5">
        <f t="shared" si="6"/>
        <v>688</v>
      </c>
      <c r="L24" s="5">
        <f t="shared" si="7"/>
        <v>760</v>
      </c>
      <c r="M24" s="5">
        <v>180.0</v>
      </c>
      <c r="N24" s="5">
        <f t="shared" si="8"/>
        <v>796</v>
      </c>
      <c r="O24" s="5">
        <f t="shared" si="9"/>
        <v>752.8</v>
      </c>
      <c r="Q24" s="1">
        <v>0.0</v>
      </c>
    </row>
    <row r="25">
      <c r="B25" s="5">
        <f>E9*0.4</f>
        <v>2560</v>
      </c>
      <c r="C25" s="10">
        <f t="shared" ref="C25:D25" si="10">-(200+0.3*$B$25)+300+0.6*C$22</f>
        <v>628</v>
      </c>
      <c r="D25" s="5">
        <f t="shared" si="10"/>
        <v>748</v>
      </c>
      <c r="E25" s="5">
        <f t="shared" ref="E25:G25" si="11">-(200+0.3*$B$25)+300+0.6*$E$22</f>
        <v>868</v>
      </c>
      <c r="F25" s="5">
        <f t="shared" si="11"/>
        <v>868</v>
      </c>
      <c r="G25" s="11">
        <f t="shared" si="11"/>
        <v>868</v>
      </c>
      <c r="I25" s="5">
        <f t="shared" si="4"/>
        <v>868</v>
      </c>
      <c r="J25" s="9">
        <f t="shared" si="5"/>
        <v>796</v>
      </c>
      <c r="K25" s="5">
        <f t="shared" si="6"/>
        <v>628</v>
      </c>
      <c r="L25" s="5">
        <f t="shared" si="7"/>
        <v>772</v>
      </c>
      <c r="M25" s="9">
        <v>120.0</v>
      </c>
      <c r="N25" s="9">
        <f t="shared" si="8"/>
        <v>808</v>
      </c>
      <c r="O25" s="5">
        <f t="shared" si="9"/>
        <v>736</v>
      </c>
      <c r="Q25" s="12">
        <v>3.0</v>
      </c>
    </row>
    <row r="26">
      <c r="B26" s="5">
        <f>F9*0.4</f>
        <v>2760</v>
      </c>
      <c r="C26" s="10">
        <f t="shared" ref="C26:E26" si="12">-(200+0.3*$B$26)+300+0.6*C$22</f>
        <v>568</v>
      </c>
      <c r="D26" s="5">
        <f t="shared" si="12"/>
        <v>688</v>
      </c>
      <c r="E26" s="5">
        <f t="shared" si="12"/>
        <v>808</v>
      </c>
      <c r="F26" s="5">
        <f t="shared" ref="F26:G26" si="13">-(200+0.3*$B$26)+300+0.6*$F$22</f>
        <v>928</v>
      </c>
      <c r="G26" s="11">
        <f t="shared" si="13"/>
        <v>928</v>
      </c>
      <c r="I26" s="5">
        <f t="shared" si="4"/>
        <v>928</v>
      </c>
      <c r="J26" s="5">
        <f t="shared" si="5"/>
        <v>784</v>
      </c>
      <c r="K26" s="5">
        <f t="shared" si="6"/>
        <v>568</v>
      </c>
      <c r="L26" s="5">
        <f t="shared" si="7"/>
        <v>784</v>
      </c>
      <c r="M26" s="5">
        <v>180.0</v>
      </c>
      <c r="N26" s="5">
        <f t="shared" si="8"/>
        <v>784</v>
      </c>
      <c r="O26" s="5">
        <f t="shared" si="9"/>
        <v>697.6</v>
      </c>
      <c r="Q26" s="1">
        <v>0.0</v>
      </c>
    </row>
    <row r="27">
      <c r="B27" s="5">
        <f>G9*0.4</f>
        <v>2960</v>
      </c>
      <c r="C27" s="13">
        <f t="shared" ref="C27:G27" si="14">-(200+0.3*$B$27)+300+0.6*C$22</f>
        <v>508</v>
      </c>
      <c r="D27" s="14">
        <f t="shared" si="14"/>
        <v>628</v>
      </c>
      <c r="E27" s="14">
        <f t="shared" si="14"/>
        <v>748</v>
      </c>
      <c r="F27" s="14">
        <f t="shared" si="14"/>
        <v>868</v>
      </c>
      <c r="G27" s="15">
        <f t="shared" si="14"/>
        <v>988</v>
      </c>
      <c r="I27" s="9">
        <f t="shared" si="4"/>
        <v>988</v>
      </c>
      <c r="J27" s="5">
        <f t="shared" si="5"/>
        <v>748</v>
      </c>
      <c r="K27" s="5">
        <f t="shared" si="6"/>
        <v>508</v>
      </c>
      <c r="L27" s="9">
        <f t="shared" si="7"/>
        <v>796</v>
      </c>
      <c r="M27" s="5">
        <v>240.0</v>
      </c>
      <c r="N27" s="5">
        <f t="shared" si="8"/>
        <v>736</v>
      </c>
      <c r="O27" s="5">
        <f t="shared" si="9"/>
        <v>644.8</v>
      </c>
      <c r="Q27" s="1">
        <v>2.0</v>
      </c>
    </row>
    <row r="28">
      <c r="C28" s="1" t="s">
        <v>27</v>
      </c>
    </row>
    <row r="29">
      <c r="B29" s="1" t="s">
        <v>11</v>
      </c>
      <c r="C29" s="1">
        <v>0.1</v>
      </c>
      <c r="D29" s="1">
        <v>0.3</v>
      </c>
      <c r="E29" s="1">
        <v>0.3</v>
      </c>
      <c r="F29" s="1">
        <v>0.2</v>
      </c>
      <c r="G29" s="1">
        <v>0.1</v>
      </c>
      <c r="Q29" s="16" t="s">
        <v>28</v>
      </c>
    </row>
    <row r="35">
      <c r="B35" s="1" t="s">
        <v>29</v>
      </c>
      <c r="C35" s="1" t="s">
        <v>18</v>
      </c>
    </row>
    <row r="37">
      <c r="B37" s="1" t="s">
        <v>26</v>
      </c>
      <c r="C37" s="5">
        <v>2160.0</v>
      </c>
      <c r="D37" s="5">
        <v>2360.0</v>
      </c>
      <c r="E37" s="5">
        <v>2560.0</v>
      </c>
      <c r="F37" s="5">
        <v>2760.0</v>
      </c>
      <c r="G37" s="5">
        <v>2960.0</v>
      </c>
      <c r="H37" s="1" t="s">
        <v>30</v>
      </c>
    </row>
    <row r="38">
      <c r="B38" s="5">
        <v>2160.0</v>
      </c>
      <c r="C38" s="6">
        <f t="shared" ref="C38:C42" si="15">$C$43-C23</f>
        <v>0</v>
      </c>
      <c r="D38" s="7">
        <f t="shared" ref="D38:D42" si="16">$D$43-D23</f>
        <v>60</v>
      </c>
      <c r="E38" s="7">
        <f t="shared" ref="E38:E42" si="17">$E$43-E23</f>
        <v>120</v>
      </c>
      <c r="F38" s="7">
        <f t="shared" ref="F38:F42" si="18">$F$43-F23</f>
        <v>180</v>
      </c>
      <c r="G38" s="8">
        <f t="shared" ref="G38:G42" si="19">$G$43-G23</f>
        <v>240</v>
      </c>
      <c r="H38" s="5">
        <f t="shared" ref="H38:H42" si="20">MAX(C38:G38)</f>
        <v>240</v>
      </c>
    </row>
    <row r="39">
      <c r="B39" s="5">
        <v>2360.0</v>
      </c>
      <c r="C39" s="10">
        <f t="shared" si="15"/>
        <v>60</v>
      </c>
      <c r="D39" s="5">
        <f t="shared" si="16"/>
        <v>0</v>
      </c>
      <c r="E39" s="5">
        <f t="shared" si="17"/>
        <v>60</v>
      </c>
      <c r="F39" s="5">
        <f t="shared" si="18"/>
        <v>120</v>
      </c>
      <c r="G39" s="11">
        <f t="shared" si="19"/>
        <v>180</v>
      </c>
      <c r="H39" s="5">
        <f t="shared" si="20"/>
        <v>180</v>
      </c>
    </row>
    <row r="40">
      <c r="B40" s="5">
        <v>2560.0</v>
      </c>
      <c r="C40" s="10">
        <f t="shared" si="15"/>
        <v>120</v>
      </c>
      <c r="D40" s="5">
        <f t="shared" si="16"/>
        <v>60</v>
      </c>
      <c r="E40" s="5">
        <f t="shared" si="17"/>
        <v>0</v>
      </c>
      <c r="F40" s="5">
        <f t="shared" si="18"/>
        <v>60</v>
      </c>
      <c r="G40" s="11">
        <f t="shared" si="19"/>
        <v>120</v>
      </c>
      <c r="H40" s="5">
        <f t="shared" si="20"/>
        <v>120</v>
      </c>
    </row>
    <row r="41">
      <c r="B41" s="5">
        <v>2760.0</v>
      </c>
      <c r="C41" s="10">
        <f t="shared" si="15"/>
        <v>180</v>
      </c>
      <c r="D41" s="5">
        <f t="shared" si="16"/>
        <v>120</v>
      </c>
      <c r="E41" s="5">
        <f t="shared" si="17"/>
        <v>60</v>
      </c>
      <c r="F41" s="5">
        <f t="shared" si="18"/>
        <v>0</v>
      </c>
      <c r="G41" s="11">
        <f t="shared" si="19"/>
        <v>60</v>
      </c>
      <c r="H41" s="5">
        <f t="shared" si="20"/>
        <v>180</v>
      </c>
    </row>
    <row r="42">
      <c r="B42" s="5">
        <v>2960.0</v>
      </c>
      <c r="C42" s="13">
        <f t="shared" si="15"/>
        <v>240</v>
      </c>
      <c r="D42" s="14">
        <f t="shared" si="16"/>
        <v>180</v>
      </c>
      <c r="E42" s="14">
        <f t="shared" si="17"/>
        <v>120</v>
      </c>
      <c r="F42" s="14">
        <f t="shared" si="18"/>
        <v>60</v>
      </c>
      <c r="G42" s="15">
        <f t="shared" si="19"/>
        <v>0</v>
      </c>
      <c r="H42" s="5">
        <f t="shared" si="20"/>
        <v>240</v>
      </c>
    </row>
    <row r="43">
      <c r="B43" s="1" t="s">
        <v>31</v>
      </c>
      <c r="C43" s="5">
        <f t="shared" ref="C43:G43" si="21">MAX(C23:C27)</f>
        <v>748</v>
      </c>
      <c r="D43" s="5">
        <f t="shared" si="21"/>
        <v>808</v>
      </c>
      <c r="E43" s="5">
        <f t="shared" si="21"/>
        <v>868</v>
      </c>
      <c r="F43" s="5">
        <f t="shared" si="21"/>
        <v>928</v>
      </c>
      <c r="G43" s="5">
        <f t="shared" si="21"/>
        <v>988</v>
      </c>
    </row>
  </sheetData>
  <drawing r:id="rId1"/>
</worksheet>
</file>