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  <sheet state="visible" name="Аркуш2" sheetId="2" r:id="rId6"/>
  </sheets>
  <definedNames/>
  <calcPr/>
</workbook>
</file>

<file path=xl/sharedStrings.xml><?xml version="1.0" encoding="utf-8"?>
<sst xmlns="http://schemas.openxmlformats.org/spreadsheetml/2006/main" count="263" uniqueCount="98">
  <si>
    <t>Боцу Аліна Олегівна</t>
  </si>
  <si>
    <t>ЗАВДАННЯ ДЛЯ БАГАТОКРИТЕРІАЛЬНОЇ ЗАДАЧІ ЛІНІЙНОГО ПРОГРАМУВАННЯ</t>
  </si>
  <si>
    <t>Завдання. БАГАТОКРИТЕРІАЛЬНА ОПТИМІЗАЦІЯ</t>
  </si>
  <si>
    <t>і=5</t>
  </si>
  <si>
    <t>1. Побудувати множину парето-оптимальних розв'язків. Здійснити звуження множини Парето методом лінійної згортки</t>
  </si>
  <si>
    <t>Розв’язати багатокритеріальну задачу лінійного програмування з 4-ма цільовими функціями та обмеженнями.</t>
  </si>
  <si>
    <t>2. Розв'язати багатокритеріальну задачу лінійного програмування методом обмежень</t>
  </si>
  <si>
    <t>Завдання 1</t>
  </si>
  <si>
    <t>Варіант 1</t>
  </si>
  <si>
    <r>
      <t xml:space="preserve">Варіант вказаний в окремому </t>
    </r>
    <r>
      <rPr>
        <rFont val="'Times New Roman',serif"/>
        <b/>
        <color rgb="FF1155CC"/>
        <sz val="14.0"/>
        <u/>
      </rPr>
      <t xml:space="preserve">списку </t>
    </r>
    <r>
      <rPr>
        <rFont val="'Times New Roman',serif"/>
        <b/>
        <color rgb="FF000000"/>
        <sz val="14.0"/>
      </rPr>
      <t>(на наступній сторінці) та складається з номерів чотирьох цільових функцій, які треба максимізувати і номеру системи обмежень</t>
    </r>
  </si>
  <si>
    <t xml:space="preserve">Експерти оцінили дев’ять побутових приборів за основними параметрами, що цікавлять споживача. </t>
  </si>
  <si>
    <t xml:space="preserve">Визначте парето-оптимальну множину приборів. </t>
  </si>
  <si>
    <t>Здійсніть звуження множини Парето за допомогою лінійної згортки (коефіцієнти важливості обчисліть так, як в методі обмежень)</t>
  </si>
  <si>
    <t>x(1)</t>
  </si>
  <si>
    <t>x(2)</t>
  </si>
  <si>
    <t>x(3)</t>
  </si>
  <si>
    <t>x(4)</t>
  </si>
  <si>
    <t>x(5)</t>
  </si>
  <si>
    <t>x(6)</t>
  </si>
  <si>
    <t>x(7)</t>
  </si>
  <si>
    <t>x(8)</t>
  </si>
  <si>
    <t>x(9)</t>
  </si>
  <si>
    <t>вартість</t>
  </si>
  <si>
    <t>Цільові функції</t>
  </si>
  <si>
    <t>Обмеження (якщо множина допустимих розв’язків виявиться порожньою, відкоригувати обмеження)</t>
  </si>
  <si>
    <t>зручність</t>
  </si>
  <si>
    <t>А=</t>
  </si>
  <si>
    <t>(-2;4)</t>
  </si>
  <si>
    <t>це є вершинами многокутника системи</t>
  </si>
  <si>
    <t>B=</t>
  </si>
  <si>
    <t>надійність</t>
  </si>
  <si>
    <t>(4;1)</t>
  </si>
  <si>
    <t>C=</t>
  </si>
  <si>
    <t>(2;0)</t>
  </si>
  <si>
    <t>Розв’яжемо задачі максимізації окремих критеріїв:</t>
  </si>
  <si>
    <t>дизайн</t>
  </si>
  <si>
    <t>(-4,1)</t>
  </si>
  <si>
    <t>z4=</t>
  </si>
  <si>
    <t>z5=</t>
  </si>
  <si>
    <t>z6=</t>
  </si>
  <si>
    <t>z7=</t>
  </si>
  <si>
    <t>Розрахунки</t>
  </si>
  <si>
    <t>сервіс</t>
  </si>
  <si>
    <t>популярність</t>
  </si>
  <si>
    <t>max</t>
  </si>
  <si>
    <t>x1=</t>
  </si>
  <si>
    <t>x2=</t>
  </si>
  <si>
    <t>x3=</t>
  </si>
  <si>
    <t>x1=x3=(4;1)</t>
  </si>
  <si>
    <t>x2=x4=(-2;4)</t>
  </si>
  <si>
    <t>Для знайдених оптимальних розв’язків локальних критеріїв знайдемо значення всіх критеріїв:</t>
  </si>
  <si>
    <t>min</t>
  </si>
  <si>
    <t>max-min</t>
  </si>
  <si>
    <t>конечная таблица</t>
  </si>
  <si>
    <t>Пронормуємо значення в попередній таблиці по стовпчикам:</t>
  </si>
  <si>
    <t>Звуження множини Парето</t>
  </si>
  <si>
    <t>Метод адитивної згортки</t>
  </si>
  <si>
    <t>Метод мультиплікативної згортки</t>
  </si>
  <si>
    <t>Нормування крітерію</t>
  </si>
  <si>
    <t>ai</t>
  </si>
  <si>
    <t>В цьому випадку ми маємо що це Парето-альтернативи, де неможливо обрати щось конкетне.</t>
  </si>
  <si>
    <t>Для подальшого аналізу обчислимо середні значення в кожному стовпчику (за виключенням діагонального елементу):</t>
  </si>
  <si>
    <t>a4=</t>
  </si>
  <si>
    <t>a5=</t>
  </si>
  <si>
    <t>a6=</t>
  </si>
  <si>
    <t>a7=</t>
  </si>
  <si>
    <t>Тоді можемо обчислити коефіцієнти ваги до критеріїв:</t>
  </si>
  <si>
    <t>w4=</t>
  </si>
  <si>
    <t>w5=</t>
  </si>
  <si>
    <t>w6=</t>
  </si>
  <si>
    <t>w7=</t>
  </si>
  <si>
    <t>Порахуємо середнє</t>
  </si>
  <si>
    <t>Тобто ми можемо зробити висновок, що всі крітерії важливі для наших розрахунків</t>
  </si>
  <si>
    <t>а1=</t>
  </si>
  <si>
    <t>а2=</t>
  </si>
  <si>
    <t>а3=</t>
  </si>
  <si>
    <t>Побудуємо лінійну згортку векторного критерію та знайдемо оптимальне значення</t>
  </si>
  <si>
    <t>Тому в данному випадку ми будемо розглядати розв'язання для точки (-2;4) та (4;1) окремо</t>
  </si>
  <si>
    <t>однокритеріальної задачі максимізації на тій же множині допустимих планів, що і в задачі</t>
  </si>
  <si>
    <t>z=</t>
  </si>
  <si>
    <t>1*z4+1*z5+1*z6+1*z7</t>
  </si>
  <si>
    <t>`=x1+4x2-6</t>
  </si>
  <si>
    <t>-</t>
  </si>
  <si>
    <t>Отримали:</t>
  </si>
  <si>
    <t>z=x1+4x2-6</t>
  </si>
  <si>
    <t>Розв'яжемо задачу максимізації</t>
  </si>
  <si>
    <t>sum</t>
  </si>
  <si>
    <t>prod</t>
  </si>
  <si>
    <t>Висновок: Обидві функції згортки досягяють найбільного значення на сьомому приборі. Тому обираємо саме його</t>
  </si>
  <si>
    <t xml:space="preserve">Тому </t>
  </si>
  <si>
    <t>max в т. x*=А(-2;4 )</t>
  </si>
  <si>
    <t>Порівнюємо оптимальні значення кожного критерія із значенням на розв’язку х*:</t>
  </si>
  <si>
    <t>Ідеальний розв'язок</t>
  </si>
  <si>
    <t>На мою думку</t>
  </si>
  <si>
    <t>розв’язок  x*=А(-2;4 ) може бути прийнятий як розв’язок багатокритеріальної задачі.</t>
  </si>
  <si>
    <t>Тому відповідь</t>
  </si>
  <si>
    <t>x*=</t>
  </si>
  <si>
    <t>А(-2;4 )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</si>
</sst>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rgb="FF000000"/>
      <name val="Arial"/>
    </font>
    <font>
      <sz val="11.0"/>
      <color rgb="FF1F1F1F"/>
      <name val="&quot;Google Sans&quot;"/>
    </font>
    <font>
      <sz val="14.0"/>
      <color rgb="FF000000"/>
      <name val="'Times New Roman'"/>
    </font>
    <font>
      <sz val="12.0"/>
      <color rgb="FF000000"/>
      <name val="'Times New Roman'"/>
    </font>
    <font>
      <color rgb="FF000000"/>
      <name val="'Times New Roman'"/>
    </font>
    <font>
      <b/>
      <u/>
      <sz val="14.0"/>
      <color rgb="FF000000"/>
      <name val="'Times New Roman'"/>
    </font>
    <font>
      <b/>
      <sz val="14.0"/>
      <color rgb="FF000000"/>
      <name val="'Times New Roman'"/>
    </font>
    <font>
      <sz val="9.0"/>
      <color rgb="FF000000"/>
      <name val="'Times New Roman'"/>
    </font>
    <font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1" fillId="0" fontId="1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readingOrder="0"/>
    </xf>
    <xf borderId="0" fillId="0" fontId="8" numFmtId="0" xfId="0" applyFont="1"/>
    <xf borderId="1" fillId="0" fontId="9" numFmtId="0" xfId="0" applyAlignment="1" applyBorder="1" applyFont="1">
      <alignment horizontal="left" readingOrder="0" shrinkToFit="0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readingOrder="0" shrinkToFit="0" wrapText="1"/>
    </xf>
    <xf borderId="0" fillId="3" fontId="9" numFmtId="0" xfId="0" applyAlignment="1" applyFill="1" applyFont="1">
      <alignment horizontal="center" readingOrder="0" shrinkToFit="0" wrapText="1"/>
    </xf>
    <xf borderId="2" fillId="0" fontId="9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right" readingOrder="0"/>
    </xf>
    <xf borderId="1" fillId="0" fontId="9" numFmtId="0" xfId="0" applyAlignment="1" applyBorder="1" applyFont="1">
      <alignment horizontal="center" readingOrder="0" shrinkToFit="0" wrapText="1"/>
    </xf>
    <xf borderId="3" fillId="0" fontId="9" numFmtId="0" xfId="0" applyAlignment="1" applyBorder="1" applyFont="1">
      <alignment horizontal="center" readingOrder="0" shrinkToFit="0" wrapText="1"/>
    </xf>
    <xf borderId="4" fillId="0" fontId="9" numFmtId="0" xfId="0" applyAlignment="1" applyBorder="1" applyFont="1">
      <alignment horizontal="center" readingOrder="0" shrinkToFit="0" wrapText="1"/>
    </xf>
    <xf borderId="1" fillId="4" fontId="6" numFmtId="0" xfId="0" applyAlignment="1" applyBorder="1" applyFill="1" applyFont="1">
      <alignment horizontal="center" readingOrder="0" shrinkToFit="0" wrapText="1"/>
    </xf>
    <xf borderId="0" fillId="3" fontId="1" numFmtId="0" xfId="0" applyFont="1"/>
    <xf borderId="1" fillId="5" fontId="6" numFmtId="0" xfId="0" applyAlignment="1" applyBorder="1" applyFill="1" applyFont="1">
      <alignment horizontal="center" readingOrder="0" shrinkToFit="0" wrapText="1"/>
    </xf>
    <xf borderId="0" fillId="4" fontId="9" numFmtId="0" xfId="0" applyAlignment="1" applyFont="1">
      <alignment horizontal="center" readingOrder="0" shrinkToFit="0" wrapText="1"/>
    </xf>
    <xf borderId="0" fillId="5" fontId="9" numFmtId="0" xfId="0" applyAlignment="1" applyFont="1">
      <alignment horizontal="center" readingOrder="0" shrinkToFit="0" wrapText="1"/>
    </xf>
    <xf borderId="0" fillId="3" fontId="1" numFmtId="0" xfId="0" applyAlignment="1" applyFont="1">
      <alignment horizontal="right" readingOrder="0"/>
    </xf>
    <xf borderId="3" fillId="4" fontId="9" numFmtId="0" xfId="0" applyAlignment="1" applyBorder="1" applyFont="1">
      <alignment horizontal="center" readingOrder="0" shrinkToFit="0" wrapText="1"/>
    </xf>
    <xf borderId="3" fillId="5" fontId="9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left"/>
    </xf>
    <xf borderId="2" fillId="5" fontId="9" numFmtId="0" xfId="0" applyAlignment="1" applyBorder="1" applyFont="1">
      <alignment horizontal="center" readingOrder="0" shrinkToFit="0" wrapText="1"/>
    </xf>
    <xf borderId="4" fillId="5" fontId="9" numFmtId="0" xfId="0" applyAlignment="1" applyBorder="1" applyFont="1">
      <alignment horizontal="center" readingOrder="0" shrinkToFit="0" wrapText="1"/>
    </xf>
    <xf borderId="2" fillId="4" fontId="9" numFmtId="0" xfId="0" applyAlignment="1" applyBorder="1" applyFont="1">
      <alignment horizontal="center" readingOrder="0" shrinkToFit="0" wrapText="1"/>
    </xf>
    <xf borderId="4" fillId="4" fontId="9" numFmtId="0" xfId="0" applyAlignment="1" applyBorder="1" applyFont="1">
      <alignment horizontal="center" readingOrder="0" shrinkToFit="0" wrapText="1"/>
    </xf>
    <xf borderId="0" fillId="3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3" fontId="6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left" readingOrder="0"/>
    </xf>
    <xf borderId="0" fillId="0" fontId="1" numFmtId="4" xfId="0" applyAlignment="1" applyFont="1" applyNumberFormat="1">
      <alignment readingOrder="0"/>
    </xf>
    <xf borderId="0" fillId="3" fontId="1" numFmtId="4" xfId="0" applyAlignment="1" applyFont="1" applyNumberForma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9.png"/><Relationship Id="rId11" Type="http://schemas.openxmlformats.org/officeDocument/2006/relationships/image" Target="../media/image3.png"/><Relationship Id="rId10" Type="http://schemas.openxmlformats.org/officeDocument/2006/relationships/image" Target="../media/image12.png"/><Relationship Id="rId12" Type="http://schemas.openxmlformats.org/officeDocument/2006/relationships/image" Target="../media/image8.png"/><Relationship Id="rId9" Type="http://schemas.openxmlformats.org/officeDocument/2006/relationships/image" Target="../media/image7.png"/><Relationship Id="rId5" Type="http://schemas.openxmlformats.org/officeDocument/2006/relationships/image" Target="../media/image6.png"/><Relationship Id="rId6" Type="http://schemas.openxmlformats.org/officeDocument/2006/relationships/image" Target="../media/image4.png"/><Relationship Id="rId7" Type="http://schemas.openxmlformats.org/officeDocument/2006/relationships/image" Target="../media/image11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17</xdr:row>
      <xdr:rowOff>0</xdr:rowOff>
    </xdr:from>
    <xdr:ext cx="1371600" cy="933450"/>
    <xdr:pic>
      <xdr:nvPicPr>
        <xdr:cNvPr id="0" name="image5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752600" cy="1171575"/>
    <xdr:pic>
      <xdr:nvPicPr>
        <xdr:cNvPr id="0" name="image2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742950</xdr:colOff>
      <xdr:row>1</xdr:row>
      <xdr:rowOff>180975</xdr:rowOff>
    </xdr:from>
    <xdr:ext cx="4876800" cy="2743200"/>
    <xdr:pic>
      <xdr:nvPicPr>
        <xdr:cNvPr id="0" name="image1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190500</xdr:colOff>
      <xdr:row>15</xdr:row>
      <xdr:rowOff>152400</xdr:rowOff>
    </xdr:from>
    <xdr:ext cx="4876800" cy="2743200"/>
    <xdr:pic>
      <xdr:nvPicPr>
        <xdr:cNvPr id="0" name="image9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31</xdr:row>
      <xdr:rowOff>38100</xdr:rowOff>
    </xdr:from>
    <xdr:ext cx="4867275" cy="2733675"/>
    <xdr:pic>
      <xdr:nvPicPr>
        <xdr:cNvPr id="0" name="image6.png" title="Зображенн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209800" cy="381000"/>
    <xdr:pic>
      <xdr:nvPicPr>
        <xdr:cNvPr id="0" name="image4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676275</xdr:colOff>
      <xdr:row>23</xdr:row>
      <xdr:rowOff>200025</xdr:rowOff>
    </xdr:from>
    <xdr:ext cx="2314575" cy="381000"/>
    <xdr:pic>
      <xdr:nvPicPr>
        <xdr:cNvPr id="0" name="image11.png" title="Зображенн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638175</xdr:colOff>
      <xdr:row>24</xdr:row>
      <xdr:rowOff>38100</xdr:rowOff>
    </xdr:from>
    <xdr:ext cx="2009775" cy="295275"/>
    <xdr:pic>
      <xdr:nvPicPr>
        <xdr:cNvPr id="0" name="image10.png" title="Зображенн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295275</xdr:colOff>
      <xdr:row>23</xdr:row>
      <xdr:rowOff>200025</xdr:rowOff>
    </xdr:from>
    <xdr:ext cx="2133600" cy="381000"/>
    <xdr:pic>
      <xdr:nvPicPr>
        <xdr:cNvPr id="0" name="image7.png" title="Зображенн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676275</xdr:colOff>
      <xdr:row>26</xdr:row>
      <xdr:rowOff>123825</xdr:rowOff>
    </xdr:from>
    <xdr:ext cx="1371600" cy="933450"/>
    <xdr:pic>
      <xdr:nvPicPr>
        <xdr:cNvPr id="0" name="image5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638175</xdr:colOff>
      <xdr:row>26</xdr:row>
      <xdr:rowOff>123825</xdr:rowOff>
    </xdr:from>
    <xdr:ext cx="1371600" cy="933450"/>
    <xdr:pic>
      <xdr:nvPicPr>
        <xdr:cNvPr id="0" name="image5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295275</xdr:colOff>
      <xdr:row>26</xdr:row>
      <xdr:rowOff>123825</xdr:rowOff>
    </xdr:from>
    <xdr:ext cx="1371600" cy="933450"/>
    <xdr:pic>
      <xdr:nvPicPr>
        <xdr:cNvPr id="0" name="image5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42</xdr:row>
      <xdr:rowOff>200025</xdr:rowOff>
    </xdr:from>
    <xdr:ext cx="1752600" cy="1171575"/>
    <xdr:pic>
      <xdr:nvPicPr>
        <xdr:cNvPr id="0" name="image2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828675</xdr:colOff>
      <xdr:row>7</xdr:row>
      <xdr:rowOff>200025</xdr:rowOff>
    </xdr:from>
    <xdr:ext cx="7124700" cy="3190875"/>
    <xdr:pic>
      <xdr:nvPicPr>
        <xdr:cNvPr id="0" name="image12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971550</xdr:colOff>
      <xdr:row>26</xdr:row>
      <xdr:rowOff>123825</xdr:rowOff>
    </xdr:from>
    <xdr:ext cx="1371600" cy="933450"/>
    <xdr:pic>
      <xdr:nvPicPr>
        <xdr:cNvPr id="0" name="image5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285750</xdr:colOff>
      <xdr:row>51</xdr:row>
      <xdr:rowOff>142875</xdr:rowOff>
    </xdr:from>
    <xdr:ext cx="2990850" cy="1362075"/>
    <xdr:pic>
      <xdr:nvPicPr>
        <xdr:cNvPr id="0" name="image3.png" title="Зображенн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933450</xdr:colOff>
      <xdr:row>26</xdr:row>
      <xdr:rowOff>38100</xdr:rowOff>
    </xdr:from>
    <xdr:ext cx="7639050" cy="4933950"/>
    <xdr:pic>
      <xdr:nvPicPr>
        <xdr:cNvPr id="0" name="image8.png" title="Зображенн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haOZVbNxk6ceRWB0_6f37Mjxa8EjCx6_TUjuJwYNvFU/edit?tab=t.0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G2" s="2">
        <f>2+3+1+2+2+0+0+4</f>
        <v>14</v>
      </c>
    </row>
    <row r="3">
      <c r="B3" s="1" t="s">
        <v>2</v>
      </c>
      <c r="G3" s="1" t="s">
        <v>3</v>
      </c>
    </row>
    <row r="5">
      <c r="B5" s="5" t="s">
        <v>4</v>
      </c>
    </row>
    <row r="6">
      <c r="B6" s="5" t="s">
        <v>6</v>
      </c>
    </row>
    <row r="8">
      <c r="B8" s="1" t="s">
        <v>7</v>
      </c>
    </row>
    <row r="9">
      <c r="B9" s="1" t="s">
        <v>8</v>
      </c>
    </row>
    <row r="11">
      <c r="B11" s="8" t="s">
        <v>10</v>
      </c>
    </row>
    <row r="12">
      <c r="B12" s="8" t="s">
        <v>11</v>
      </c>
    </row>
    <row r="13">
      <c r="B13" s="1" t="s">
        <v>12</v>
      </c>
    </row>
    <row r="16">
      <c r="B16" s="9"/>
      <c r="C16" s="10" t="s">
        <v>13</v>
      </c>
      <c r="D16" s="10" t="s">
        <v>14</v>
      </c>
      <c r="E16" s="10" t="s">
        <v>15</v>
      </c>
      <c r="F16" s="10" t="s">
        <v>16</v>
      </c>
      <c r="G16" s="10" t="s">
        <v>17</v>
      </c>
      <c r="H16" s="10" t="s">
        <v>18</v>
      </c>
      <c r="I16" s="10" t="s">
        <v>19</v>
      </c>
      <c r="J16" s="10" t="s">
        <v>20</v>
      </c>
      <c r="K16" s="10" t="s">
        <v>21</v>
      </c>
    </row>
    <row r="17">
      <c r="B17" s="13" t="s">
        <v>22</v>
      </c>
      <c r="C17" s="15">
        <v>8.0</v>
      </c>
      <c r="D17" s="15">
        <v>9.0</v>
      </c>
      <c r="E17" s="15">
        <v>3.0</v>
      </c>
      <c r="F17" s="15">
        <v>1.0</v>
      </c>
      <c r="G17" s="15">
        <v>5.0</v>
      </c>
      <c r="H17" s="16">
        <v>7.0</v>
      </c>
      <c r="I17" s="15">
        <v>5.0</v>
      </c>
      <c r="J17" s="15">
        <v>8.0</v>
      </c>
      <c r="K17" s="17">
        <v>7.0</v>
      </c>
    </row>
    <row r="18">
      <c r="B18" s="13" t="s">
        <v>25</v>
      </c>
      <c r="C18" s="15">
        <v>5.0</v>
      </c>
      <c r="D18" s="15">
        <v>1.0</v>
      </c>
      <c r="E18" s="15">
        <v>2.0</v>
      </c>
      <c r="F18" s="15">
        <v>3.0</v>
      </c>
      <c r="G18" s="15">
        <v>4.0</v>
      </c>
      <c r="H18" s="15">
        <v>3.0</v>
      </c>
      <c r="I18" s="15">
        <v>4.0</v>
      </c>
      <c r="J18" s="15">
        <v>5.0</v>
      </c>
      <c r="K18" s="17">
        <v>5.0</v>
      </c>
    </row>
    <row r="19">
      <c r="B19" s="13" t="s">
        <v>30</v>
      </c>
      <c r="C19" s="15">
        <v>4.0</v>
      </c>
      <c r="D19" s="15">
        <v>5.0</v>
      </c>
      <c r="E19" s="15">
        <v>1.0</v>
      </c>
      <c r="F19" s="15">
        <v>7.0</v>
      </c>
      <c r="G19" s="15">
        <v>3.0</v>
      </c>
      <c r="H19" s="15">
        <v>6.0</v>
      </c>
      <c r="I19" s="15">
        <v>7.0</v>
      </c>
      <c r="J19" s="15">
        <v>2.0</v>
      </c>
      <c r="K19" s="17">
        <v>4.0</v>
      </c>
    </row>
    <row r="20">
      <c r="B20" s="13" t="s">
        <v>35</v>
      </c>
      <c r="C20" s="15">
        <v>3.0</v>
      </c>
      <c r="D20" s="15">
        <v>3.0</v>
      </c>
      <c r="E20" s="15">
        <v>8.0</v>
      </c>
      <c r="F20" s="15">
        <v>1.0</v>
      </c>
      <c r="G20" s="15">
        <v>2.0</v>
      </c>
      <c r="H20" s="15">
        <v>3.0</v>
      </c>
      <c r="I20" s="15">
        <v>2.0</v>
      </c>
      <c r="J20" s="15">
        <v>9.0</v>
      </c>
      <c r="K20" s="17">
        <v>2.0</v>
      </c>
    </row>
    <row r="21">
      <c r="B21" s="13" t="s">
        <v>42</v>
      </c>
      <c r="C21" s="15">
        <v>7.0</v>
      </c>
      <c r="D21" s="15">
        <v>2.0</v>
      </c>
      <c r="E21" s="15">
        <v>1.0</v>
      </c>
      <c r="F21" s="15">
        <v>4.0</v>
      </c>
      <c r="G21" s="15">
        <v>6.0</v>
      </c>
      <c r="H21" s="15">
        <v>2.0</v>
      </c>
      <c r="I21" s="15">
        <v>4.0</v>
      </c>
      <c r="J21" s="15">
        <v>2.0</v>
      </c>
      <c r="K21" s="17">
        <v>7.0</v>
      </c>
    </row>
    <row r="22">
      <c r="B22" s="19" t="s">
        <v>43</v>
      </c>
      <c r="C22" s="20">
        <v>1.0</v>
      </c>
      <c r="D22" s="20">
        <v>4.0</v>
      </c>
      <c r="E22" s="20">
        <v>2.0</v>
      </c>
      <c r="F22" s="20">
        <v>1.0</v>
      </c>
      <c r="G22" s="20">
        <v>1.0</v>
      </c>
      <c r="H22" s="20">
        <v>7.0</v>
      </c>
      <c r="I22" s="20">
        <v>1.0</v>
      </c>
      <c r="J22" s="20">
        <v>3.0</v>
      </c>
      <c r="K22" s="21">
        <v>1.0</v>
      </c>
    </row>
    <row r="25">
      <c r="B25" s="9"/>
      <c r="C25" s="22" t="s">
        <v>13</v>
      </c>
      <c r="D25" s="10" t="s">
        <v>14</v>
      </c>
      <c r="E25" s="10" t="s">
        <v>15</v>
      </c>
      <c r="F25" s="10" t="s">
        <v>16</v>
      </c>
      <c r="G25" s="24" t="s">
        <v>17</v>
      </c>
      <c r="H25" s="10" t="s">
        <v>18</v>
      </c>
      <c r="I25" s="10" t="s">
        <v>19</v>
      </c>
      <c r="J25" s="10" t="s">
        <v>20</v>
      </c>
      <c r="K25" s="10" t="s">
        <v>21</v>
      </c>
    </row>
    <row r="26">
      <c r="B26" s="13" t="s">
        <v>22</v>
      </c>
      <c r="C26" s="25">
        <v>8.0</v>
      </c>
      <c r="D26" s="15">
        <v>9.0</v>
      </c>
      <c r="E26" s="15">
        <v>3.0</v>
      </c>
      <c r="F26" s="15">
        <v>1.0</v>
      </c>
      <c r="G26" s="26">
        <v>5.0</v>
      </c>
      <c r="H26" s="16">
        <v>7.0</v>
      </c>
      <c r="I26" s="15">
        <v>5.0</v>
      </c>
      <c r="J26" s="15">
        <v>8.0</v>
      </c>
      <c r="K26" s="17">
        <v>7.0</v>
      </c>
    </row>
    <row r="27">
      <c r="B27" s="13" t="s">
        <v>25</v>
      </c>
      <c r="C27" s="25">
        <v>5.0</v>
      </c>
      <c r="D27" s="15">
        <v>1.0</v>
      </c>
      <c r="E27" s="15">
        <v>2.0</v>
      </c>
      <c r="F27" s="15">
        <v>3.0</v>
      </c>
      <c r="G27" s="26">
        <v>4.0</v>
      </c>
      <c r="H27" s="15">
        <v>3.0</v>
      </c>
      <c r="I27" s="15">
        <v>4.0</v>
      </c>
      <c r="J27" s="15">
        <v>5.0</v>
      </c>
      <c r="K27" s="17">
        <v>5.0</v>
      </c>
    </row>
    <row r="28">
      <c r="B28" s="13" t="s">
        <v>30</v>
      </c>
      <c r="C28" s="25">
        <v>4.0</v>
      </c>
      <c r="D28" s="15">
        <v>5.0</v>
      </c>
      <c r="E28" s="15">
        <v>1.0</v>
      </c>
      <c r="F28" s="15">
        <v>7.0</v>
      </c>
      <c r="G28" s="26">
        <v>3.0</v>
      </c>
      <c r="H28" s="15">
        <v>6.0</v>
      </c>
      <c r="I28" s="15">
        <v>7.0</v>
      </c>
      <c r="J28" s="15">
        <v>2.0</v>
      </c>
      <c r="K28" s="17">
        <v>4.0</v>
      </c>
    </row>
    <row r="29">
      <c r="B29" s="13" t="s">
        <v>35</v>
      </c>
      <c r="C29" s="25">
        <v>3.0</v>
      </c>
      <c r="D29" s="15">
        <v>3.0</v>
      </c>
      <c r="E29" s="15">
        <v>8.0</v>
      </c>
      <c r="F29" s="15">
        <v>1.0</v>
      </c>
      <c r="G29" s="26">
        <v>2.0</v>
      </c>
      <c r="H29" s="15">
        <v>3.0</v>
      </c>
      <c r="I29" s="15">
        <v>2.0</v>
      </c>
      <c r="J29" s="15">
        <v>9.0</v>
      </c>
      <c r="K29" s="17">
        <v>2.0</v>
      </c>
    </row>
    <row r="30">
      <c r="B30" s="13" t="s">
        <v>42</v>
      </c>
      <c r="C30" s="25">
        <v>7.0</v>
      </c>
      <c r="D30" s="15">
        <v>2.0</v>
      </c>
      <c r="E30" s="15">
        <v>1.0</v>
      </c>
      <c r="F30" s="15">
        <v>4.0</v>
      </c>
      <c r="G30" s="26">
        <v>6.0</v>
      </c>
      <c r="H30" s="15">
        <v>2.0</v>
      </c>
      <c r="I30" s="15">
        <v>4.0</v>
      </c>
      <c r="J30" s="15">
        <v>2.0</v>
      </c>
      <c r="K30" s="17">
        <v>7.0</v>
      </c>
    </row>
    <row r="31">
      <c r="B31" s="19" t="s">
        <v>43</v>
      </c>
      <c r="C31" s="28">
        <v>1.0</v>
      </c>
      <c r="D31" s="20">
        <v>4.0</v>
      </c>
      <c r="E31" s="20">
        <v>2.0</v>
      </c>
      <c r="F31" s="20">
        <v>1.0</v>
      </c>
      <c r="G31" s="29">
        <v>1.0</v>
      </c>
      <c r="H31" s="20">
        <v>7.0</v>
      </c>
      <c r="I31" s="20">
        <v>1.0</v>
      </c>
      <c r="J31" s="20">
        <v>3.0</v>
      </c>
      <c r="K31" s="21">
        <v>1.0</v>
      </c>
    </row>
    <row r="32">
      <c r="B32" s="30"/>
    </row>
    <row r="33">
      <c r="B33" s="9"/>
      <c r="C33" s="22" t="s">
        <v>13</v>
      </c>
      <c r="D33" s="10" t="s">
        <v>14</v>
      </c>
      <c r="E33" s="10" t="s">
        <v>15</v>
      </c>
      <c r="F33" s="10" t="s">
        <v>16</v>
      </c>
      <c r="G33" s="10" t="s">
        <v>18</v>
      </c>
      <c r="H33" s="10" t="s">
        <v>19</v>
      </c>
      <c r="I33" s="10" t="s">
        <v>20</v>
      </c>
      <c r="J33" s="24" t="s">
        <v>21</v>
      </c>
    </row>
    <row r="34">
      <c r="B34" s="13" t="s">
        <v>22</v>
      </c>
      <c r="C34" s="25">
        <v>8.0</v>
      </c>
      <c r="D34" s="15">
        <v>9.0</v>
      </c>
      <c r="E34" s="15">
        <v>3.0</v>
      </c>
      <c r="F34" s="15">
        <v>1.0</v>
      </c>
      <c r="G34" s="16">
        <v>7.0</v>
      </c>
      <c r="H34" s="15">
        <v>5.0</v>
      </c>
      <c r="I34" s="15">
        <v>8.0</v>
      </c>
      <c r="J34" s="31">
        <v>7.0</v>
      </c>
    </row>
    <row r="35">
      <c r="B35" s="13" t="s">
        <v>25</v>
      </c>
      <c r="C35" s="25">
        <v>5.0</v>
      </c>
      <c r="D35" s="15">
        <v>1.0</v>
      </c>
      <c r="E35" s="15">
        <v>2.0</v>
      </c>
      <c r="F35" s="15">
        <v>3.0</v>
      </c>
      <c r="G35" s="15">
        <v>3.0</v>
      </c>
      <c r="H35" s="15">
        <v>4.0</v>
      </c>
      <c r="I35" s="15">
        <v>5.0</v>
      </c>
      <c r="J35" s="31">
        <v>5.0</v>
      </c>
    </row>
    <row r="36">
      <c r="B36" s="13" t="s">
        <v>30</v>
      </c>
      <c r="C36" s="25">
        <v>4.0</v>
      </c>
      <c r="D36" s="15">
        <v>5.0</v>
      </c>
      <c r="E36" s="15">
        <v>1.0</v>
      </c>
      <c r="F36" s="15">
        <v>7.0</v>
      </c>
      <c r="G36" s="15">
        <v>6.0</v>
      </c>
      <c r="H36" s="15">
        <v>7.0</v>
      </c>
      <c r="I36" s="15">
        <v>2.0</v>
      </c>
      <c r="J36" s="31">
        <v>4.0</v>
      </c>
    </row>
    <row r="37">
      <c r="B37" s="13" t="s">
        <v>35</v>
      </c>
      <c r="C37" s="25">
        <v>3.0</v>
      </c>
      <c r="D37" s="15">
        <v>3.0</v>
      </c>
      <c r="E37" s="15">
        <v>8.0</v>
      </c>
      <c r="F37" s="15">
        <v>1.0</v>
      </c>
      <c r="G37" s="15">
        <v>3.0</v>
      </c>
      <c r="H37" s="15">
        <v>2.0</v>
      </c>
      <c r="I37" s="15">
        <v>9.0</v>
      </c>
      <c r="J37" s="31">
        <v>2.0</v>
      </c>
    </row>
    <row r="38">
      <c r="B38" s="13" t="s">
        <v>42</v>
      </c>
      <c r="C38" s="25">
        <v>7.0</v>
      </c>
      <c r="D38" s="15">
        <v>2.0</v>
      </c>
      <c r="E38" s="15">
        <v>1.0</v>
      </c>
      <c r="F38" s="15">
        <v>4.0</v>
      </c>
      <c r="G38" s="15">
        <v>2.0</v>
      </c>
      <c r="H38" s="15">
        <v>4.0</v>
      </c>
      <c r="I38" s="15">
        <v>2.0</v>
      </c>
      <c r="J38" s="31">
        <v>7.0</v>
      </c>
    </row>
    <row r="39">
      <c r="B39" s="19" t="s">
        <v>43</v>
      </c>
      <c r="C39" s="28">
        <v>1.0</v>
      </c>
      <c r="D39" s="20">
        <v>4.0</v>
      </c>
      <c r="E39" s="20">
        <v>2.0</v>
      </c>
      <c r="F39" s="20">
        <v>1.0</v>
      </c>
      <c r="G39" s="20">
        <v>7.0</v>
      </c>
      <c r="H39" s="20">
        <v>1.0</v>
      </c>
      <c r="I39" s="20">
        <v>3.0</v>
      </c>
      <c r="J39" s="32">
        <v>1.0</v>
      </c>
    </row>
    <row r="41">
      <c r="B41" s="9"/>
      <c r="C41" s="22" t="s">
        <v>13</v>
      </c>
      <c r="D41" s="22" t="s">
        <v>14</v>
      </c>
      <c r="E41" s="24" t="s">
        <v>15</v>
      </c>
      <c r="F41" s="10" t="s">
        <v>16</v>
      </c>
      <c r="G41" s="10" t="s">
        <v>18</v>
      </c>
      <c r="H41" s="10" t="s">
        <v>19</v>
      </c>
      <c r="I41" s="22" t="s">
        <v>20</v>
      </c>
    </row>
    <row r="42">
      <c r="B42" s="13" t="s">
        <v>22</v>
      </c>
      <c r="C42" s="25">
        <v>8.0</v>
      </c>
      <c r="D42" s="25">
        <v>9.0</v>
      </c>
      <c r="E42" s="26">
        <v>3.0</v>
      </c>
      <c r="F42" s="15">
        <v>1.0</v>
      </c>
      <c r="G42" s="16">
        <v>7.0</v>
      </c>
      <c r="H42" s="15">
        <v>5.0</v>
      </c>
      <c r="I42" s="33">
        <v>8.0</v>
      </c>
    </row>
    <row r="43">
      <c r="B43" s="13" t="s">
        <v>25</v>
      </c>
      <c r="C43" s="25">
        <v>5.0</v>
      </c>
      <c r="D43" s="25">
        <v>1.0</v>
      </c>
      <c r="E43" s="26">
        <v>2.0</v>
      </c>
      <c r="F43" s="15">
        <v>3.0</v>
      </c>
      <c r="G43" s="15">
        <v>3.0</v>
      </c>
      <c r="H43" s="15">
        <v>4.0</v>
      </c>
      <c r="I43" s="33">
        <v>5.0</v>
      </c>
    </row>
    <row r="44">
      <c r="B44" s="13" t="s">
        <v>30</v>
      </c>
      <c r="C44" s="25">
        <v>4.0</v>
      </c>
      <c r="D44" s="25">
        <v>5.0</v>
      </c>
      <c r="E44" s="26">
        <v>1.0</v>
      </c>
      <c r="F44" s="15">
        <v>7.0</v>
      </c>
      <c r="G44" s="15">
        <v>6.0</v>
      </c>
      <c r="H44" s="15">
        <v>7.0</v>
      </c>
      <c r="I44" s="33">
        <v>2.0</v>
      </c>
    </row>
    <row r="45">
      <c r="B45" s="13" t="s">
        <v>35</v>
      </c>
      <c r="C45" s="25">
        <v>3.0</v>
      </c>
      <c r="D45" s="25">
        <v>3.0</v>
      </c>
      <c r="E45" s="26">
        <v>8.0</v>
      </c>
      <c r="F45" s="15">
        <v>1.0</v>
      </c>
      <c r="G45" s="15">
        <v>3.0</v>
      </c>
      <c r="H45" s="15">
        <v>2.0</v>
      </c>
      <c r="I45" s="33">
        <v>9.0</v>
      </c>
    </row>
    <row r="46">
      <c r="B46" s="13" t="s">
        <v>42</v>
      </c>
      <c r="C46" s="25">
        <v>7.0</v>
      </c>
      <c r="D46" s="25">
        <v>2.0</v>
      </c>
      <c r="E46" s="26">
        <v>1.0</v>
      </c>
      <c r="F46" s="15">
        <v>4.0</v>
      </c>
      <c r="G46" s="15">
        <v>2.0</v>
      </c>
      <c r="H46" s="15">
        <v>4.0</v>
      </c>
      <c r="I46" s="33">
        <v>2.0</v>
      </c>
    </row>
    <row r="47">
      <c r="B47" s="19" t="s">
        <v>43</v>
      </c>
      <c r="C47" s="28">
        <v>1.0</v>
      </c>
      <c r="D47" s="28">
        <v>4.0</v>
      </c>
      <c r="E47" s="29">
        <v>2.0</v>
      </c>
      <c r="F47" s="20">
        <v>1.0</v>
      </c>
      <c r="G47" s="20">
        <v>7.0</v>
      </c>
      <c r="H47" s="20">
        <v>1.0</v>
      </c>
      <c r="I47" s="34">
        <v>3.0</v>
      </c>
    </row>
    <row r="49">
      <c r="B49" s="9"/>
      <c r="C49" s="22" t="s">
        <v>13</v>
      </c>
      <c r="D49" s="22" t="s">
        <v>14</v>
      </c>
      <c r="E49" s="24" t="s">
        <v>16</v>
      </c>
      <c r="F49" s="10" t="s">
        <v>18</v>
      </c>
      <c r="G49" s="22" t="s">
        <v>19</v>
      </c>
      <c r="H49" s="22" t="s">
        <v>20</v>
      </c>
    </row>
    <row r="50">
      <c r="B50" s="13" t="s">
        <v>22</v>
      </c>
      <c r="C50" s="25">
        <v>8.0</v>
      </c>
      <c r="D50" s="25">
        <v>9.0</v>
      </c>
      <c r="E50" s="26">
        <v>1.0</v>
      </c>
      <c r="F50" s="16">
        <v>7.0</v>
      </c>
      <c r="G50" s="25">
        <v>5.0</v>
      </c>
      <c r="H50" s="33">
        <v>8.0</v>
      </c>
    </row>
    <row r="51">
      <c r="B51" s="13" t="s">
        <v>25</v>
      </c>
      <c r="C51" s="25">
        <v>5.0</v>
      </c>
      <c r="D51" s="25">
        <v>1.0</v>
      </c>
      <c r="E51" s="26">
        <v>3.0</v>
      </c>
      <c r="F51" s="15">
        <v>3.0</v>
      </c>
      <c r="G51" s="25">
        <v>4.0</v>
      </c>
      <c r="H51" s="33">
        <v>5.0</v>
      </c>
    </row>
    <row r="52">
      <c r="B52" s="13" t="s">
        <v>30</v>
      </c>
      <c r="C52" s="25">
        <v>4.0</v>
      </c>
      <c r="D52" s="25">
        <v>5.0</v>
      </c>
      <c r="E52" s="26">
        <v>7.0</v>
      </c>
      <c r="F52" s="15">
        <v>6.0</v>
      </c>
      <c r="G52" s="25">
        <v>7.0</v>
      </c>
      <c r="H52" s="33">
        <v>2.0</v>
      </c>
    </row>
    <row r="53">
      <c r="B53" s="13" t="s">
        <v>35</v>
      </c>
      <c r="C53" s="25">
        <v>3.0</v>
      </c>
      <c r="D53" s="25">
        <v>3.0</v>
      </c>
      <c r="E53" s="26">
        <v>1.0</v>
      </c>
      <c r="F53" s="15">
        <v>3.0</v>
      </c>
      <c r="G53" s="25">
        <v>2.0</v>
      </c>
      <c r="H53" s="33">
        <v>9.0</v>
      </c>
    </row>
    <row r="54">
      <c r="B54" s="13" t="s">
        <v>42</v>
      </c>
      <c r="C54" s="25">
        <v>7.0</v>
      </c>
      <c r="D54" s="25">
        <v>2.0</v>
      </c>
      <c r="E54" s="26">
        <v>4.0</v>
      </c>
      <c r="F54" s="15">
        <v>2.0</v>
      </c>
      <c r="G54" s="25">
        <v>4.0</v>
      </c>
      <c r="H54" s="33">
        <v>2.0</v>
      </c>
    </row>
    <row r="55">
      <c r="B55" s="19" t="s">
        <v>43</v>
      </c>
      <c r="C55" s="28">
        <v>1.0</v>
      </c>
      <c r="D55" s="28">
        <v>4.0</v>
      </c>
      <c r="E55" s="29">
        <v>1.0</v>
      </c>
      <c r="F55" s="20">
        <v>7.0</v>
      </c>
      <c r="G55" s="28">
        <v>1.0</v>
      </c>
      <c r="H55" s="34">
        <v>3.0</v>
      </c>
    </row>
    <row r="57">
      <c r="B57" s="9"/>
      <c r="C57" s="22" t="s">
        <v>13</v>
      </c>
      <c r="D57" s="22" t="s">
        <v>14</v>
      </c>
      <c r="E57" s="22" t="s">
        <v>18</v>
      </c>
      <c r="F57" s="22" t="s">
        <v>19</v>
      </c>
      <c r="G57" s="22" t="s">
        <v>20</v>
      </c>
    </row>
    <row r="58">
      <c r="B58" s="13" t="s">
        <v>22</v>
      </c>
      <c r="C58" s="25">
        <v>8.0</v>
      </c>
      <c r="D58" s="25">
        <v>9.0</v>
      </c>
      <c r="E58" s="25">
        <v>7.0</v>
      </c>
      <c r="F58" s="25">
        <v>5.0</v>
      </c>
      <c r="G58" s="33">
        <v>8.0</v>
      </c>
      <c r="I58" s="1" t="s">
        <v>53</v>
      </c>
    </row>
    <row r="59">
      <c r="B59" s="13" t="s">
        <v>25</v>
      </c>
      <c r="C59" s="25">
        <v>5.0</v>
      </c>
      <c r="D59" s="25">
        <v>1.0</v>
      </c>
      <c r="E59" s="25">
        <v>3.0</v>
      </c>
      <c r="F59" s="25">
        <v>4.0</v>
      </c>
      <c r="G59" s="33">
        <v>5.0</v>
      </c>
    </row>
    <row r="60">
      <c r="B60" s="13" t="s">
        <v>30</v>
      </c>
      <c r="C60" s="25">
        <v>4.0</v>
      </c>
      <c r="D60" s="25">
        <v>5.0</v>
      </c>
      <c r="E60" s="25">
        <v>6.0</v>
      </c>
      <c r="F60" s="25">
        <v>7.0</v>
      </c>
      <c r="G60" s="33">
        <v>2.0</v>
      </c>
    </row>
    <row r="61">
      <c r="B61" s="13" t="s">
        <v>35</v>
      </c>
      <c r="C61" s="25">
        <v>3.0</v>
      </c>
      <c r="D61" s="25">
        <v>3.0</v>
      </c>
      <c r="E61" s="25">
        <v>3.0</v>
      </c>
      <c r="F61" s="25">
        <v>2.0</v>
      </c>
      <c r="G61" s="33">
        <v>9.0</v>
      </c>
    </row>
    <row r="62">
      <c r="B62" s="13" t="s">
        <v>42</v>
      </c>
      <c r="C62" s="25">
        <v>7.0</v>
      </c>
      <c r="D62" s="25">
        <v>2.0</v>
      </c>
      <c r="E62" s="25">
        <v>2.0</v>
      </c>
      <c r="F62" s="25">
        <v>4.0</v>
      </c>
      <c r="G62" s="33">
        <v>2.0</v>
      </c>
    </row>
    <row r="63">
      <c r="B63" s="19" t="s">
        <v>43</v>
      </c>
      <c r="C63" s="28">
        <v>1.0</v>
      </c>
      <c r="D63" s="28">
        <v>4.0</v>
      </c>
      <c r="E63" s="28">
        <v>7.0</v>
      </c>
      <c r="F63" s="28">
        <v>1.0</v>
      </c>
      <c r="G63" s="34">
        <v>3.0</v>
      </c>
    </row>
    <row r="65">
      <c r="B65" s="1" t="s">
        <v>55</v>
      </c>
    </row>
    <row r="66">
      <c r="J66" s="36" t="s">
        <v>56</v>
      </c>
      <c r="Q66" s="1" t="s">
        <v>57</v>
      </c>
    </row>
    <row r="67">
      <c r="B67" s="9"/>
      <c r="C67" s="22" t="s">
        <v>13</v>
      </c>
      <c r="D67" s="22" t="s">
        <v>14</v>
      </c>
      <c r="E67" s="22" t="s">
        <v>18</v>
      </c>
      <c r="F67" s="37" t="s">
        <v>19</v>
      </c>
      <c r="G67" s="22" t="s">
        <v>20</v>
      </c>
      <c r="H67" s="1" t="s">
        <v>51</v>
      </c>
      <c r="I67" s="1" t="s">
        <v>44</v>
      </c>
      <c r="J67" s="1" t="s">
        <v>58</v>
      </c>
      <c r="O67" s="1" t="s">
        <v>59</v>
      </c>
    </row>
    <row r="68">
      <c r="B68" s="13" t="s">
        <v>22</v>
      </c>
      <c r="C68" s="25">
        <v>8.0</v>
      </c>
      <c r="D68" s="25">
        <v>9.0</v>
      </c>
      <c r="E68" s="25">
        <v>7.0</v>
      </c>
      <c r="F68" s="25">
        <v>5.0</v>
      </c>
      <c r="G68" s="33">
        <v>8.0</v>
      </c>
      <c r="H68" s="2">
        <f t="shared" ref="H68:H73" si="3">min(C68:G68)</f>
        <v>5</v>
      </c>
      <c r="I68" s="2">
        <f t="shared" ref="I68:I73" si="4">max(C68:G68)</f>
        <v>9</v>
      </c>
      <c r="J68" s="25">
        <f t="shared" ref="J68:N68" si="1">($I$68-C68)/($I$68-$H$68)</f>
        <v>0.25</v>
      </c>
      <c r="K68" s="25">
        <f t="shared" si="1"/>
        <v>0</v>
      </c>
      <c r="L68" s="25">
        <f t="shared" si="1"/>
        <v>0.5</v>
      </c>
      <c r="M68" s="25">
        <f t="shared" si="1"/>
        <v>1</v>
      </c>
      <c r="N68" s="25">
        <f t="shared" si="1"/>
        <v>0.25</v>
      </c>
      <c r="O68" s="2">
        <f t="shared" ref="O68:O73" si="6">1/6</f>
        <v>0.1666666667</v>
      </c>
      <c r="Q68" s="1">
        <f t="shared" ref="Q68:U68" si="2">(J68+1)^$O$68</f>
        <v>1.037890816</v>
      </c>
      <c r="R68" s="1">
        <f t="shared" si="2"/>
        <v>1</v>
      </c>
      <c r="S68" s="1">
        <f t="shared" si="2"/>
        <v>1.069913194</v>
      </c>
      <c r="T68" s="1">
        <f t="shared" si="2"/>
        <v>1.122462048</v>
      </c>
      <c r="U68" s="1">
        <f t="shared" si="2"/>
        <v>1.037890816</v>
      </c>
    </row>
    <row r="69">
      <c r="B69" s="13" t="s">
        <v>25</v>
      </c>
      <c r="C69" s="25">
        <v>5.0</v>
      </c>
      <c r="D69" s="25">
        <v>1.0</v>
      </c>
      <c r="E69" s="25">
        <v>3.0</v>
      </c>
      <c r="F69" s="25">
        <v>4.0</v>
      </c>
      <c r="G69" s="33">
        <v>5.0</v>
      </c>
      <c r="H69" s="2">
        <f t="shared" si="3"/>
        <v>1</v>
      </c>
      <c r="I69" s="2">
        <f t="shared" si="4"/>
        <v>5</v>
      </c>
      <c r="J69" s="25">
        <f t="shared" ref="J69:N69" si="5">(C69-$H$69)/($I$69-$H$69)</f>
        <v>1</v>
      </c>
      <c r="K69" s="25">
        <f t="shared" si="5"/>
        <v>0</v>
      </c>
      <c r="L69" s="25">
        <f t="shared" si="5"/>
        <v>0.5</v>
      </c>
      <c r="M69" s="25">
        <f t="shared" si="5"/>
        <v>0.75</v>
      </c>
      <c r="N69" s="25">
        <f t="shared" si="5"/>
        <v>1</v>
      </c>
      <c r="O69" s="2">
        <f t="shared" si="6"/>
        <v>0.1666666667</v>
      </c>
      <c r="Q69" s="2">
        <f t="shared" ref="Q69:U69" si="7">(J69+1)^$O$68</f>
        <v>1.122462048</v>
      </c>
      <c r="R69" s="2">
        <f t="shared" si="7"/>
        <v>1</v>
      </c>
      <c r="S69" s="2">
        <f t="shared" si="7"/>
        <v>1.069913194</v>
      </c>
      <c r="T69" s="2">
        <f t="shared" si="7"/>
        <v>1.097757319</v>
      </c>
      <c r="U69" s="2">
        <f t="shared" si="7"/>
        <v>1.122462048</v>
      </c>
    </row>
    <row r="70">
      <c r="B70" s="13" t="s">
        <v>30</v>
      </c>
      <c r="C70" s="25">
        <v>4.0</v>
      </c>
      <c r="D70" s="25">
        <v>5.0</v>
      </c>
      <c r="E70" s="25">
        <v>6.0</v>
      </c>
      <c r="F70" s="25">
        <v>7.0</v>
      </c>
      <c r="G70" s="33">
        <v>2.0</v>
      </c>
      <c r="H70" s="2">
        <f t="shared" si="3"/>
        <v>2</v>
      </c>
      <c r="I70" s="2">
        <f t="shared" si="4"/>
        <v>7</v>
      </c>
      <c r="J70" s="25">
        <f t="shared" ref="J70:N70" si="8">(C70-$H$70)/($I$70-$H$70)</f>
        <v>0.4</v>
      </c>
      <c r="K70" s="25">
        <f t="shared" si="8"/>
        <v>0.6</v>
      </c>
      <c r="L70" s="25">
        <f t="shared" si="8"/>
        <v>0.8</v>
      </c>
      <c r="M70" s="25">
        <f t="shared" si="8"/>
        <v>1</v>
      </c>
      <c r="N70" s="25">
        <f t="shared" si="8"/>
        <v>0</v>
      </c>
      <c r="O70" s="2">
        <f t="shared" si="6"/>
        <v>0.1666666667</v>
      </c>
      <c r="Q70" s="2">
        <f t="shared" ref="Q70:U70" si="9">(J70+1)^$O$68</f>
        <v>1.057680926</v>
      </c>
      <c r="R70" s="2">
        <f t="shared" si="9"/>
        <v>1.081483747</v>
      </c>
      <c r="S70" s="2">
        <f t="shared" si="9"/>
        <v>1.102923569</v>
      </c>
      <c r="T70" s="2">
        <f t="shared" si="9"/>
        <v>1.122462048</v>
      </c>
      <c r="U70" s="2">
        <f t="shared" si="9"/>
        <v>1</v>
      </c>
    </row>
    <row r="71">
      <c r="B71" s="13" t="s">
        <v>35</v>
      </c>
      <c r="C71" s="25">
        <v>3.0</v>
      </c>
      <c r="D71" s="25">
        <v>3.0</v>
      </c>
      <c r="E71" s="25">
        <v>3.0</v>
      </c>
      <c r="F71" s="25">
        <v>2.0</v>
      </c>
      <c r="G71" s="33">
        <v>9.0</v>
      </c>
      <c r="H71" s="2">
        <f t="shared" si="3"/>
        <v>2</v>
      </c>
      <c r="I71" s="2">
        <f t="shared" si="4"/>
        <v>9</v>
      </c>
      <c r="J71" s="25">
        <f t="shared" ref="J71:N71" si="10">(C71-$H$71)/($I$71-$H$71)</f>
        <v>0.1428571429</v>
      </c>
      <c r="K71" s="25">
        <f t="shared" si="10"/>
        <v>0.1428571429</v>
      </c>
      <c r="L71" s="25">
        <f t="shared" si="10"/>
        <v>0.1428571429</v>
      </c>
      <c r="M71" s="25">
        <f t="shared" si="10"/>
        <v>0</v>
      </c>
      <c r="N71" s="25">
        <f t="shared" si="10"/>
        <v>1</v>
      </c>
      <c r="O71" s="2">
        <f t="shared" si="6"/>
        <v>0.1666666667</v>
      </c>
      <c r="Q71" s="2">
        <f t="shared" ref="Q71:U71" si="11">(J71+1)^$O$68</f>
        <v>1.022504727</v>
      </c>
      <c r="R71" s="2">
        <f t="shared" si="11"/>
        <v>1.022504727</v>
      </c>
      <c r="S71" s="2">
        <f t="shared" si="11"/>
        <v>1.022504727</v>
      </c>
      <c r="T71" s="2">
        <f t="shared" si="11"/>
        <v>1</v>
      </c>
      <c r="U71" s="2">
        <f t="shared" si="11"/>
        <v>1.122462048</v>
      </c>
    </row>
    <row r="72">
      <c r="B72" s="13" t="s">
        <v>42</v>
      </c>
      <c r="C72" s="25">
        <v>7.0</v>
      </c>
      <c r="D72" s="25">
        <v>2.0</v>
      </c>
      <c r="E72" s="25">
        <v>2.0</v>
      </c>
      <c r="F72" s="25">
        <v>4.0</v>
      </c>
      <c r="G72" s="33">
        <v>2.0</v>
      </c>
      <c r="H72" s="2">
        <f t="shared" si="3"/>
        <v>2</v>
      </c>
      <c r="I72" s="2">
        <f t="shared" si="4"/>
        <v>7</v>
      </c>
      <c r="J72" s="25">
        <f t="shared" ref="J72:N72" si="12">(C72-$H$72)/($I$72-$H$72)</f>
        <v>1</v>
      </c>
      <c r="K72" s="25">
        <f t="shared" si="12"/>
        <v>0</v>
      </c>
      <c r="L72" s="25">
        <f t="shared" si="12"/>
        <v>0</v>
      </c>
      <c r="M72" s="25">
        <f t="shared" si="12"/>
        <v>0.4</v>
      </c>
      <c r="N72" s="25">
        <f t="shared" si="12"/>
        <v>0</v>
      </c>
      <c r="O72" s="2">
        <f t="shared" si="6"/>
        <v>0.1666666667</v>
      </c>
      <c r="Q72" s="2">
        <f t="shared" ref="Q72:U72" si="13">(J72+1)^$O$68</f>
        <v>1.122462048</v>
      </c>
      <c r="R72" s="2">
        <f t="shared" si="13"/>
        <v>1</v>
      </c>
      <c r="S72" s="2">
        <f t="shared" si="13"/>
        <v>1</v>
      </c>
      <c r="T72" s="2">
        <f t="shared" si="13"/>
        <v>1.057680926</v>
      </c>
      <c r="U72" s="2">
        <f t="shared" si="13"/>
        <v>1</v>
      </c>
    </row>
    <row r="73">
      <c r="B73" s="13" t="s">
        <v>43</v>
      </c>
      <c r="C73" s="28">
        <v>1.0</v>
      </c>
      <c r="D73" s="28">
        <v>4.0</v>
      </c>
      <c r="E73" s="28">
        <v>7.0</v>
      </c>
      <c r="F73" s="28">
        <v>1.0</v>
      </c>
      <c r="G73" s="34">
        <v>3.0</v>
      </c>
      <c r="H73" s="2">
        <f t="shared" si="3"/>
        <v>1</v>
      </c>
      <c r="I73" s="2">
        <f t="shared" si="4"/>
        <v>7</v>
      </c>
      <c r="J73" s="25">
        <f t="shared" ref="J73:N73" si="14">(C73-$H$73)/($I$73-$H$73)</f>
        <v>0</v>
      </c>
      <c r="K73" s="25">
        <f t="shared" si="14"/>
        <v>0.5</v>
      </c>
      <c r="L73" s="25">
        <f t="shared" si="14"/>
        <v>1</v>
      </c>
      <c r="M73" s="25">
        <f t="shared" si="14"/>
        <v>0</v>
      </c>
      <c r="N73" s="25">
        <f t="shared" si="14"/>
        <v>0.3333333333</v>
      </c>
      <c r="O73" s="2">
        <f t="shared" si="6"/>
        <v>0.1666666667</v>
      </c>
      <c r="Q73" s="2">
        <f t="shared" ref="Q73:U73" si="15">(J73+1)^$O$68</f>
        <v>1</v>
      </c>
      <c r="R73" s="2">
        <f t="shared" si="15"/>
        <v>1.069913194</v>
      </c>
      <c r="S73" s="2">
        <f t="shared" si="15"/>
        <v>1.122462048</v>
      </c>
      <c r="T73" s="2">
        <f t="shared" si="15"/>
        <v>1</v>
      </c>
      <c r="U73" s="2">
        <f t="shared" si="15"/>
        <v>1.049115063</v>
      </c>
    </row>
    <row r="74">
      <c r="I74" s="1" t="s">
        <v>86</v>
      </c>
      <c r="J74" s="2">
        <f t="shared" ref="J74:N74" si="16">sum(J68:J73)*$O$68</f>
        <v>0.4654761905</v>
      </c>
      <c r="K74" s="2">
        <f t="shared" si="16"/>
        <v>0.2071428571</v>
      </c>
      <c r="L74" s="2">
        <f t="shared" si="16"/>
        <v>0.4904761905</v>
      </c>
      <c r="M74" s="23">
        <f t="shared" si="16"/>
        <v>0.525</v>
      </c>
      <c r="N74" s="2">
        <f t="shared" si="16"/>
        <v>0.4305555556</v>
      </c>
      <c r="P74" s="1" t="s">
        <v>87</v>
      </c>
      <c r="Q74" s="2">
        <f t="shared" ref="Q74:U74" si="17">PRODUCT(Q68:Q73)</f>
        <v>1.414213562</v>
      </c>
      <c r="R74" s="2">
        <f t="shared" si="17"/>
        <v>1.183133809</v>
      </c>
      <c r="S74" s="2">
        <f t="shared" si="17"/>
        <v>1.449037065</v>
      </c>
      <c r="T74" s="23">
        <f t="shared" si="17"/>
        <v>1.462865326</v>
      </c>
      <c r="U74" s="2">
        <f t="shared" si="17"/>
        <v>1.371886314</v>
      </c>
    </row>
    <row r="75">
      <c r="I75" s="1" t="s">
        <v>44</v>
      </c>
      <c r="J75" s="2">
        <f>max(J74:N74)</f>
        <v>0.525</v>
      </c>
      <c r="M75" s="2">
        <f>M68*O68+M69*O69+M70*O70+M71*O71+M72*O72+M73*O73</f>
        <v>0.525</v>
      </c>
      <c r="P75" s="1" t="s">
        <v>44</v>
      </c>
      <c r="Q75" s="2">
        <f>max(Q74:U74)</f>
        <v>1.462865326</v>
      </c>
    </row>
    <row r="77">
      <c r="B77" s="41" t="s">
        <v>88</v>
      </c>
    </row>
  </sheetData>
  <mergeCells count="1">
    <mergeCell ref="J66:N6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3" t="s">
        <v>1</v>
      </c>
    </row>
    <row r="3">
      <c r="B3" s="4"/>
    </row>
    <row r="4">
      <c r="B4" s="6" t="s">
        <v>5</v>
      </c>
    </row>
    <row r="5">
      <c r="B5" s="7"/>
    </row>
    <row r="6">
      <c r="B6" s="11" t="s">
        <v>9</v>
      </c>
    </row>
    <row r="7">
      <c r="B7" s="12"/>
    </row>
    <row r="8">
      <c r="B8" s="14" t="s">
        <v>23</v>
      </c>
    </row>
    <row r="9">
      <c r="B9" s="12"/>
    </row>
    <row r="16">
      <c r="B16" s="14" t="s">
        <v>24</v>
      </c>
    </row>
    <row r="17">
      <c r="B17" s="12"/>
    </row>
    <row r="18">
      <c r="D18" s="1" t="s">
        <v>26</v>
      </c>
      <c r="E18" s="1" t="s">
        <v>27</v>
      </c>
      <c r="F18" s="1" t="s">
        <v>28</v>
      </c>
    </row>
    <row r="19">
      <c r="D19" s="1" t="s">
        <v>29</v>
      </c>
      <c r="E19" s="1" t="s">
        <v>31</v>
      </c>
    </row>
    <row r="20">
      <c r="D20" s="1" t="s">
        <v>32</v>
      </c>
      <c r="E20" s="1" t="s">
        <v>33</v>
      </c>
    </row>
    <row r="23">
      <c r="B23" s="1" t="s">
        <v>34</v>
      </c>
    </row>
    <row r="33" ht="14.25" customHeight="1">
      <c r="B33" s="1" t="s">
        <v>36</v>
      </c>
      <c r="C33" s="1" t="s">
        <v>37</v>
      </c>
      <c r="E33" s="1" t="s">
        <v>38</v>
      </c>
      <c r="G33" s="1" t="s">
        <v>39</v>
      </c>
      <c r="I33" s="1" t="s">
        <v>40</v>
      </c>
      <c r="J33" s="18"/>
    </row>
    <row r="34">
      <c r="B34" s="1" t="s">
        <v>41</v>
      </c>
      <c r="D34" s="18"/>
      <c r="G34" s="18"/>
      <c r="J34" s="18"/>
    </row>
    <row r="35">
      <c r="A35" s="1" t="s">
        <v>26</v>
      </c>
      <c r="B35" s="1" t="s">
        <v>27</v>
      </c>
      <c r="C35" s="2">
        <f>3*(-2)+2*4-5</f>
        <v>-3</v>
      </c>
      <c r="D35" s="18"/>
      <c r="E35" s="23">
        <f>-(-2)+2*4-12</f>
        <v>-2</v>
      </c>
      <c r="G35" s="18">
        <f>3*(-2)-4+8</f>
        <v>-2</v>
      </c>
      <c r="I35" s="23">
        <f>-4*(-2)+4+3</f>
        <v>15</v>
      </c>
      <c r="J35" s="18"/>
    </row>
    <row r="36">
      <c r="A36" s="1" t="s">
        <v>29</v>
      </c>
      <c r="B36" s="1" t="s">
        <v>31</v>
      </c>
      <c r="C36" s="23">
        <f>3*4+2*1-5</f>
        <v>9</v>
      </c>
      <c r="D36" s="18"/>
      <c r="E36" s="2">
        <f>-4+2*1-12</f>
        <v>-14</v>
      </c>
      <c r="G36" s="27">
        <f>3*4-1+8</f>
        <v>19</v>
      </c>
      <c r="I36" s="2">
        <f>-4*4+1+3</f>
        <v>-12</v>
      </c>
      <c r="J36" s="18"/>
    </row>
    <row r="37">
      <c r="A37" s="1" t="s">
        <v>32</v>
      </c>
      <c r="B37" s="1" t="s">
        <v>33</v>
      </c>
      <c r="C37" s="2">
        <f>3*2+2*0-5</f>
        <v>1</v>
      </c>
      <c r="D37" s="18"/>
      <c r="E37" s="2">
        <f>-2+2*0-12</f>
        <v>-14</v>
      </c>
      <c r="G37" s="18">
        <f>3*2-0+8</f>
        <v>14</v>
      </c>
      <c r="I37" s="2">
        <f>-4*2+0+3</f>
        <v>-5</v>
      </c>
      <c r="J37" s="18"/>
    </row>
    <row r="38">
      <c r="A38" s="18"/>
      <c r="B38" s="1" t="s">
        <v>44</v>
      </c>
      <c r="C38" s="2">
        <f>max(C35:C37)</f>
        <v>9</v>
      </c>
      <c r="D38" s="18"/>
      <c r="E38" s="2">
        <f>max(E35:E37)</f>
        <v>-2</v>
      </c>
      <c r="G38" s="18">
        <f>max(G35:G37)</f>
        <v>19</v>
      </c>
      <c r="I38" s="2">
        <f>max(I35:I37)</f>
        <v>15</v>
      </c>
      <c r="J38" s="18"/>
    </row>
    <row r="39">
      <c r="A39" s="18"/>
      <c r="B39" s="1"/>
      <c r="D39" s="18"/>
      <c r="G39" s="18"/>
      <c r="J39" s="18"/>
    </row>
    <row r="40">
      <c r="B40" s="18" t="s">
        <v>45</v>
      </c>
      <c r="C40" s="1" t="s">
        <v>31</v>
      </c>
      <c r="D40" s="18" t="s">
        <v>46</v>
      </c>
      <c r="E40" s="1" t="s">
        <v>27</v>
      </c>
      <c r="F40" s="18" t="s">
        <v>47</v>
      </c>
      <c r="G40" s="1" t="s">
        <v>31</v>
      </c>
      <c r="H40" s="18" t="s">
        <v>45</v>
      </c>
      <c r="I40" s="1" t="s">
        <v>27</v>
      </c>
      <c r="J40" s="18"/>
    </row>
    <row r="41">
      <c r="A41" s="18"/>
      <c r="B41" s="1"/>
      <c r="D41" s="18"/>
      <c r="G41" s="18"/>
    </row>
    <row r="42">
      <c r="C42" s="1" t="s">
        <v>48</v>
      </c>
      <c r="E42" s="1" t="s">
        <v>49</v>
      </c>
    </row>
    <row r="44">
      <c r="D44" s="1" t="s">
        <v>50</v>
      </c>
    </row>
    <row r="45">
      <c r="D45" s="1"/>
    </row>
    <row r="46">
      <c r="E46" s="1" t="s">
        <v>37</v>
      </c>
      <c r="F46" s="1" t="s">
        <v>38</v>
      </c>
      <c r="G46" s="1" t="s">
        <v>39</v>
      </c>
      <c r="H46" s="1" t="s">
        <v>40</v>
      </c>
    </row>
    <row r="47">
      <c r="C47" s="18" t="s">
        <v>45</v>
      </c>
      <c r="D47" s="1" t="s">
        <v>27</v>
      </c>
      <c r="E47" s="2">
        <f>3*(-2)+2*4-5</f>
        <v>-3</v>
      </c>
      <c r="F47" s="2">
        <f>-(-2)+2*4-12</f>
        <v>-2</v>
      </c>
      <c r="G47" s="2">
        <f>3*(-2)-4+8</f>
        <v>-2</v>
      </c>
      <c r="H47" s="2">
        <f>-4*(-2)+4+3</f>
        <v>15</v>
      </c>
    </row>
    <row r="48" ht="15.0" customHeight="1">
      <c r="C48" s="18" t="s">
        <v>46</v>
      </c>
      <c r="D48" s="1" t="s">
        <v>31</v>
      </c>
      <c r="E48" s="2">
        <f>3*4+2*1-5</f>
        <v>9</v>
      </c>
      <c r="F48" s="2">
        <f>-4+2*1-12</f>
        <v>-14</v>
      </c>
      <c r="G48" s="2">
        <f>3*4-1+8</f>
        <v>19</v>
      </c>
      <c r="H48" s="2">
        <f>-4*4+1+3</f>
        <v>-12</v>
      </c>
      <c r="V48" s="1" t="s">
        <v>26</v>
      </c>
      <c r="W48" s="1" t="s">
        <v>29</v>
      </c>
      <c r="X48" s="1" t="s">
        <v>32</v>
      </c>
    </row>
    <row r="49" ht="15.0" customHeight="1">
      <c r="C49" s="18"/>
      <c r="D49" s="1"/>
      <c r="V49" s="1" t="s">
        <v>27</v>
      </c>
      <c r="W49" s="1" t="s">
        <v>31</v>
      </c>
      <c r="X49" s="1" t="s">
        <v>33</v>
      </c>
      <c r="Y49" s="1" t="s">
        <v>44</v>
      </c>
    </row>
    <row r="50">
      <c r="C50" s="18"/>
      <c r="D50" s="1" t="s">
        <v>51</v>
      </c>
      <c r="E50" s="2">
        <f>MIN(E47:E48)</f>
        <v>-3</v>
      </c>
      <c r="F50" s="2">
        <f t="shared" ref="F50:H50" si="1">min(F47:F48)</f>
        <v>-14</v>
      </c>
      <c r="G50" s="2">
        <f t="shared" si="1"/>
        <v>-2</v>
      </c>
      <c r="H50" s="2">
        <f t="shared" si="1"/>
        <v>-12</v>
      </c>
    </row>
    <row r="51">
      <c r="D51" s="1" t="s">
        <v>44</v>
      </c>
      <c r="E51" s="2">
        <f t="shared" ref="E51:H51" si="2">MAX(E47:E48)</f>
        <v>9</v>
      </c>
      <c r="F51" s="2">
        <f t="shared" si="2"/>
        <v>-2</v>
      </c>
      <c r="G51" s="2">
        <f t="shared" si="2"/>
        <v>19</v>
      </c>
      <c r="H51" s="2">
        <f t="shared" si="2"/>
        <v>15</v>
      </c>
      <c r="U51" s="1" t="s">
        <v>37</v>
      </c>
      <c r="V51" s="1">
        <f>3*(-2)+2*4-5</f>
        <v>-3</v>
      </c>
      <c r="W51" s="35">
        <f>3*4+2*1-5</f>
        <v>9</v>
      </c>
      <c r="X51" s="2">
        <f>3*2+2*0-5</f>
        <v>1</v>
      </c>
      <c r="Y51" s="2">
        <f t="shared" ref="Y51:Y54" si="4">max(V51,W51,X51)</f>
        <v>9</v>
      </c>
    </row>
    <row r="52">
      <c r="D52" s="1" t="s">
        <v>52</v>
      </c>
      <c r="E52" s="2">
        <f t="shared" ref="E52:H52" si="3">E51-E50</f>
        <v>12</v>
      </c>
      <c r="F52" s="2">
        <f t="shared" si="3"/>
        <v>12</v>
      </c>
      <c r="G52" s="2">
        <f t="shared" si="3"/>
        <v>21</v>
      </c>
      <c r="H52" s="2">
        <f t="shared" si="3"/>
        <v>27</v>
      </c>
      <c r="U52" s="1" t="s">
        <v>38</v>
      </c>
      <c r="V52" s="23">
        <f>-(-2)+2*4-12</f>
        <v>-2</v>
      </c>
      <c r="W52" s="2">
        <f>-4+2*1-12</f>
        <v>-14</v>
      </c>
      <c r="X52" s="2">
        <f>-2+2*0-12</f>
        <v>-14</v>
      </c>
      <c r="Y52" s="2">
        <f t="shared" si="4"/>
        <v>-2</v>
      </c>
    </row>
    <row r="53">
      <c r="U53" s="1" t="s">
        <v>39</v>
      </c>
      <c r="V53" s="2">
        <f>3*(-2)-4+8</f>
        <v>-2</v>
      </c>
      <c r="W53" s="23">
        <f>3*4-1+8</f>
        <v>19</v>
      </c>
      <c r="X53" s="2">
        <f>3*2-0+8</f>
        <v>14</v>
      </c>
      <c r="Y53" s="2">
        <f t="shared" si="4"/>
        <v>19</v>
      </c>
    </row>
    <row r="54">
      <c r="D54" s="1" t="s">
        <v>54</v>
      </c>
      <c r="U54" s="1" t="s">
        <v>40</v>
      </c>
      <c r="V54" s="23">
        <f>-4*(-2)+4+3</f>
        <v>15</v>
      </c>
      <c r="W54" s="2">
        <f>-4*4+1+3</f>
        <v>-12</v>
      </c>
      <c r="X54" s="2">
        <f>-4*2+0+3</f>
        <v>-5</v>
      </c>
      <c r="Y54" s="2">
        <f t="shared" si="4"/>
        <v>15</v>
      </c>
    </row>
    <row r="55">
      <c r="E55" s="1" t="s">
        <v>37</v>
      </c>
      <c r="F55" s="1" t="s">
        <v>38</v>
      </c>
      <c r="G55" s="1" t="s">
        <v>39</v>
      </c>
      <c r="H55" s="1" t="s">
        <v>40</v>
      </c>
    </row>
    <row r="56">
      <c r="C56" s="1"/>
      <c r="D56" s="1"/>
      <c r="E56" s="1"/>
    </row>
    <row r="57">
      <c r="C57" s="1" t="s">
        <v>45</v>
      </c>
      <c r="D57" s="1" t="s">
        <v>27</v>
      </c>
      <c r="E57" s="2">
        <f t="shared" ref="E57:H57" si="5">(E47-E50)/E52</f>
        <v>0</v>
      </c>
      <c r="F57" s="2">
        <f t="shared" si="5"/>
        <v>1</v>
      </c>
      <c r="G57" s="2">
        <f t="shared" si="5"/>
        <v>0</v>
      </c>
      <c r="H57" s="2">
        <f t="shared" si="5"/>
        <v>1</v>
      </c>
      <c r="V57" s="1" t="s">
        <v>26</v>
      </c>
      <c r="W57" s="1" t="s">
        <v>29</v>
      </c>
      <c r="X57" s="1" t="s">
        <v>32</v>
      </c>
    </row>
    <row r="58">
      <c r="C58" s="18" t="s">
        <v>46</v>
      </c>
      <c r="D58" s="1" t="s">
        <v>31</v>
      </c>
      <c r="E58" s="2">
        <f t="shared" ref="E58:H58" si="6">(E48-E50)/E52</f>
        <v>1</v>
      </c>
      <c r="F58" s="2">
        <f t="shared" si="6"/>
        <v>0</v>
      </c>
      <c r="G58" s="2">
        <f t="shared" si="6"/>
        <v>1</v>
      </c>
      <c r="H58" s="2">
        <f t="shared" si="6"/>
        <v>0</v>
      </c>
      <c r="V58" s="1"/>
      <c r="W58" s="1"/>
      <c r="X58" s="1"/>
    </row>
    <row r="59">
      <c r="C59" s="18"/>
      <c r="D59" s="1"/>
      <c r="V59" s="1"/>
      <c r="W59" s="1"/>
      <c r="X59" s="1"/>
    </row>
    <row r="60">
      <c r="D60" s="1" t="s">
        <v>60</v>
      </c>
      <c r="V60" s="1" t="s">
        <v>27</v>
      </c>
      <c r="W60" s="1" t="s">
        <v>31</v>
      </c>
      <c r="X60" s="1" t="s">
        <v>33</v>
      </c>
      <c r="Y60" s="1" t="s">
        <v>44</v>
      </c>
    </row>
    <row r="61">
      <c r="V61" s="1"/>
      <c r="W61" s="1"/>
      <c r="X61" s="1"/>
      <c r="Y61" s="1"/>
    </row>
    <row r="62">
      <c r="D62" s="38" t="s">
        <v>61</v>
      </c>
      <c r="U62" s="1" t="s">
        <v>37</v>
      </c>
      <c r="V62" s="39">
        <f>-3/15</f>
        <v>-0.2</v>
      </c>
      <c r="W62" s="35">
        <f>9/19</f>
        <v>0.4736842105</v>
      </c>
      <c r="X62" s="2">
        <f>1/14</f>
        <v>0.07142857143</v>
      </c>
      <c r="Y62" s="2">
        <f>9/19</f>
        <v>0.4736842105</v>
      </c>
    </row>
    <row r="63">
      <c r="E63" s="1" t="s">
        <v>62</v>
      </c>
      <c r="F63" s="1" t="s">
        <v>63</v>
      </c>
      <c r="G63" s="1" t="s">
        <v>64</v>
      </c>
      <c r="H63" s="1" t="s">
        <v>65</v>
      </c>
      <c r="U63" s="1"/>
      <c r="V63" s="40"/>
    </row>
    <row r="64">
      <c r="E64" s="1">
        <v>0.0</v>
      </c>
      <c r="F64" s="1">
        <v>0.0</v>
      </c>
      <c r="G64" s="1">
        <v>0.0</v>
      </c>
      <c r="H64" s="1">
        <v>0.0</v>
      </c>
      <c r="U64" s="1" t="s">
        <v>38</v>
      </c>
      <c r="V64" s="40">
        <f t="shared" ref="V64:V65" si="7">-2/15</f>
        <v>-0.1333333333</v>
      </c>
      <c r="W64" s="2">
        <f>-14/19</f>
        <v>-0.7368421053</v>
      </c>
      <c r="X64" s="2">
        <f>-14/14</f>
        <v>-1</v>
      </c>
      <c r="Y64" s="2">
        <f>-2/19</f>
        <v>-0.1052631579</v>
      </c>
    </row>
    <row r="65">
      <c r="U65" s="1" t="s">
        <v>39</v>
      </c>
      <c r="V65" s="39">
        <f t="shared" si="7"/>
        <v>-0.1333333333</v>
      </c>
      <c r="W65" s="23">
        <f>19/19</f>
        <v>1</v>
      </c>
      <c r="X65" s="2">
        <f>14/14</f>
        <v>1</v>
      </c>
      <c r="Y65" s="2">
        <f>19/19</f>
        <v>1</v>
      </c>
    </row>
    <row r="66">
      <c r="D66" s="1" t="s">
        <v>66</v>
      </c>
      <c r="U66" s="1" t="s">
        <v>40</v>
      </c>
      <c r="V66" s="40">
        <f>15/15</f>
        <v>1</v>
      </c>
      <c r="W66" s="2">
        <f>-12/19</f>
        <v>-0.6315789474</v>
      </c>
      <c r="X66" s="2">
        <f>-5/14</f>
        <v>-0.3571428571</v>
      </c>
      <c r="Y66" s="2">
        <f>15/19</f>
        <v>0.7894736842</v>
      </c>
    </row>
    <row r="67">
      <c r="E67" s="1" t="s">
        <v>67</v>
      </c>
      <c r="F67" s="1" t="s">
        <v>68</v>
      </c>
      <c r="G67" s="1" t="s">
        <v>69</v>
      </c>
      <c r="H67" s="1" t="s">
        <v>70</v>
      </c>
    </row>
    <row r="68">
      <c r="E68" s="2">
        <f t="shared" ref="E68:H68" si="8">1-E64</f>
        <v>1</v>
      </c>
      <c r="F68" s="2">
        <f t="shared" si="8"/>
        <v>1</v>
      </c>
      <c r="G68" s="2">
        <f t="shared" si="8"/>
        <v>1</v>
      </c>
      <c r="H68" s="2">
        <f t="shared" si="8"/>
        <v>1</v>
      </c>
      <c r="U68" s="1" t="s">
        <v>71</v>
      </c>
    </row>
    <row r="70">
      <c r="D70" s="1" t="s">
        <v>72</v>
      </c>
      <c r="U70" s="1" t="s">
        <v>73</v>
      </c>
      <c r="W70" s="1" t="s">
        <v>74</v>
      </c>
      <c r="Y70" s="1" t="s">
        <v>75</v>
      </c>
    </row>
    <row r="72">
      <c r="D72" s="1" t="s">
        <v>76</v>
      </c>
      <c r="U72" s="1" t="s">
        <v>77</v>
      </c>
    </row>
    <row r="73">
      <c r="D73" s="1" t="s">
        <v>78</v>
      </c>
    </row>
    <row r="75">
      <c r="C75" s="1" t="s">
        <v>79</v>
      </c>
      <c r="D75" s="1" t="s">
        <v>80</v>
      </c>
      <c r="F75" s="1" t="s">
        <v>81</v>
      </c>
      <c r="U75" s="1" t="s">
        <v>82</v>
      </c>
      <c r="V75" s="1" t="s">
        <v>54</v>
      </c>
    </row>
    <row r="76">
      <c r="D76" s="1" t="s">
        <v>83</v>
      </c>
    </row>
    <row r="77">
      <c r="E77" s="1" t="s">
        <v>84</v>
      </c>
      <c r="W77" s="1" t="s">
        <v>37</v>
      </c>
      <c r="X77" s="1" t="s">
        <v>38</v>
      </c>
      <c r="Y77" s="1" t="s">
        <v>39</v>
      </c>
      <c r="Z77" s="1" t="s">
        <v>40</v>
      </c>
    </row>
    <row r="78">
      <c r="D78" s="1" t="s">
        <v>85</v>
      </c>
      <c r="U78" s="1" t="s">
        <v>26</v>
      </c>
      <c r="V78" s="1" t="s">
        <v>27</v>
      </c>
      <c r="W78" s="2">
        <f>3*(-2)+2*4-5</f>
        <v>-3</v>
      </c>
      <c r="X78" s="2">
        <f>-(-2)+2*4-12</f>
        <v>-2</v>
      </c>
      <c r="Y78" s="2">
        <f>3*(-2)-4+8</f>
        <v>-2</v>
      </c>
      <c r="Z78" s="2">
        <f>-4*(-2)+4+3</f>
        <v>15</v>
      </c>
    </row>
    <row r="79">
      <c r="E79" s="1" t="s">
        <v>79</v>
      </c>
      <c r="U79" s="1" t="s">
        <v>29</v>
      </c>
      <c r="V79" s="1" t="s">
        <v>31</v>
      </c>
      <c r="W79" s="2">
        <f>3*4+2*1-5</f>
        <v>9</v>
      </c>
      <c r="X79" s="2">
        <f>-4+2*1-12</f>
        <v>-14</v>
      </c>
      <c r="Y79" s="2">
        <f>3*4-1+8</f>
        <v>19</v>
      </c>
      <c r="Z79" s="2">
        <f>-4*4+1+3</f>
        <v>-12</v>
      </c>
    </row>
    <row r="80">
      <c r="C80" s="1" t="s">
        <v>26</v>
      </c>
      <c r="D80" s="1" t="s">
        <v>27</v>
      </c>
      <c r="E80" s="23">
        <f>-2+4*4-6</f>
        <v>8</v>
      </c>
      <c r="U80" s="1" t="s">
        <v>32</v>
      </c>
      <c r="V80" s="1" t="s">
        <v>33</v>
      </c>
      <c r="W80" s="2">
        <f>3*2+2*0-5</f>
        <v>1</v>
      </c>
      <c r="X80" s="2">
        <f>-2+2*0-12</f>
        <v>-14</v>
      </c>
      <c r="Y80" s="2">
        <f>3*2-0+8</f>
        <v>14</v>
      </c>
      <c r="Z80" s="2">
        <f>-4*2+0+3</f>
        <v>-5</v>
      </c>
    </row>
    <row r="81">
      <c r="C81" s="1" t="s">
        <v>29</v>
      </c>
      <c r="D81" s="1" t="s">
        <v>31</v>
      </c>
      <c r="E81" s="2">
        <f>4+4*1-6</f>
        <v>2</v>
      </c>
    </row>
    <row r="82">
      <c r="C82" s="1" t="s">
        <v>32</v>
      </c>
      <c r="D82" s="1" t="s">
        <v>33</v>
      </c>
      <c r="E82" s="1">
        <f>2+4*0-6</f>
        <v>-4</v>
      </c>
    </row>
    <row r="83">
      <c r="U83" s="1" t="s">
        <v>26</v>
      </c>
      <c r="V83" s="1" t="s">
        <v>27</v>
      </c>
      <c r="W83" s="2">
        <f>3*(-2)+2*4-5</f>
        <v>-3</v>
      </c>
      <c r="X83" s="2">
        <f>-(-2)+2*4-12</f>
        <v>-2</v>
      </c>
      <c r="Y83" s="2">
        <f>3*(-2)-4+8</f>
        <v>-2</v>
      </c>
      <c r="Z83" s="2">
        <f>-4*(-2)+4+3</f>
        <v>15</v>
      </c>
    </row>
    <row r="84">
      <c r="D84" s="1" t="s">
        <v>44</v>
      </c>
      <c r="E84" s="1">
        <v>8.0</v>
      </c>
      <c r="U84" s="1" t="s">
        <v>29</v>
      </c>
      <c r="V84" s="1" t="s">
        <v>31</v>
      </c>
      <c r="W84" s="2">
        <f>3*4+2*1-5</f>
        <v>9</v>
      </c>
      <c r="X84" s="2">
        <f>-4+2*1-12</f>
        <v>-14</v>
      </c>
      <c r="Y84" s="2">
        <f>3*4-1+8</f>
        <v>19</v>
      </c>
      <c r="Z84" s="2">
        <f>-4*4+1+3</f>
        <v>-12</v>
      </c>
    </row>
    <row r="85">
      <c r="C85" s="1" t="s">
        <v>89</v>
      </c>
      <c r="D85" s="1" t="s">
        <v>90</v>
      </c>
      <c r="U85" s="1" t="s">
        <v>32</v>
      </c>
      <c r="V85" s="1" t="s">
        <v>33</v>
      </c>
      <c r="W85" s="2">
        <f>3*2+2*0-5</f>
        <v>1</v>
      </c>
      <c r="X85" s="2">
        <f>-2+2*0-12</f>
        <v>-14</v>
      </c>
      <c r="Y85" s="2">
        <f>3*2-0+8</f>
        <v>14</v>
      </c>
      <c r="Z85" s="2">
        <f>-4*2+0+3</f>
        <v>-5</v>
      </c>
    </row>
    <row r="87">
      <c r="D87" s="1" t="s">
        <v>91</v>
      </c>
    </row>
    <row r="89">
      <c r="E89" s="1" t="s">
        <v>37</v>
      </c>
      <c r="F89" s="1" t="s">
        <v>38</v>
      </c>
      <c r="G89" s="1" t="s">
        <v>39</v>
      </c>
      <c r="H89" s="1" t="s">
        <v>40</v>
      </c>
    </row>
    <row r="90">
      <c r="C90" s="1" t="s">
        <v>92</v>
      </c>
      <c r="E90" s="1">
        <v>9.0</v>
      </c>
      <c r="F90" s="1">
        <v>-2.0</v>
      </c>
      <c r="G90" s="1">
        <v>19.0</v>
      </c>
      <c r="H90" s="1">
        <v>15.0</v>
      </c>
    </row>
    <row r="91">
      <c r="C91" s="1" t="s">
        <v>45</v>
      </c>
      <c r="D91" s="1" t="s">
        <v>27</v>
      </c>
      <c r="E91" s="2">
        <f>3*(-2)+2*4-5</f>
        <v>-3</v>
      </c>
      <c r="F91" s="2">
        <f>-(-2)+2*4-12</f>
        <v>-2</v>
      </c>
      <c r="G91" s="2">
        <f>3*(-2)-4+8</f>
        <v>-2</v>
      </c>
      <c r="H91" s="2">
        <f>-4*(-2)+4+3</f>
        <v>15</v>
      </c>
    </row>
    <row r="93">
      <c r="C93" s="1" t="s">
        <v>93</v>
      </c>
    </row>
    <row r="94">
      <c r="C94" s="1" t="s">
        <v>94</v>
      </c>
    </row>
    <row r="96">
      <c r="C96" s="1" t="s">
        <v>95</v>
      </c>
      <c r="D96" s="1" t="s">
        <v>96</v>
      </c>
      <c r="E96" s="1" t="s">
        <v>97</v>
      </c>
    </row>
    <row r="97">
      <c r="D97" s="1" t="s">
        <v>37</v>
      </c>
      <c r="E97" s="1">
        <v>-3.0</v>
      </c>
    </row>
    <row r="98">
      <c r="D98" s="1" t="s">
        <v>38</v>
      </c>
      <c r="E98" s="1">
        <v>-2.0</v>
      </c>
    </row>
    <row r="99">
      <c r="D99" s="1" t="s">
        <v>39</v>
      </c>
      <c r="E99" s="1">
        <v>-2.0</v>
      </c>
    </row>
    <row r="100">
      <c r="D100" s="1" t="s">
        <v>40</v>
      </c>
      <c r="E100" s="1">
        <v>15.0</v>
      </c>
    </row>
  </sheetData>
  <hyperlinks>
    <hyperlink r:id="rId1" location="heading=h.qdwx57q20jd9" ref="B6"/>
  </hyperlinks>
  <drawing r:id="rId2"/>
</worksheet>
</file>